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Resumen del Proyecto" sheetId="1" state="visible" r:id="rId1"/>
    <sheet xmlns:r="http://schemas.openxmlformats.org/officeDocument/2006/relationships" name="Lotes Disponibles" sheetId="2" state="visible" r:id="rId2"/>
    <sheet xmlns:r="http://schemas.openxmlformats.org/officeDocument/2006/relationships" name="Inventario Detallado" sheetId="3" state="visible" r:id="rId3"/>
    <sheet xmlns:r="http://schemas.openxmlformats.org/officeDocument/2006/relationships" name="Especificaciones Técnicas" sheetId="4" state="visible" r:id="rId4"/>
    <sheet xmlns:r="http://schemas.openxmlformats.org/officeDocument/2006/relationships" name="Presupuesto de Obras" sheetId="5" state="visible" r:id="rId5"/>
    <sheet xmlns:r="http://schemas.openxmlformats.org/officeDocument/2006/relationships" name="Flujo de Caj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S/ &quot;#,##0"/>
    <numFmt numFmtId="165" formatCode="S/ #,##0.00"/>
    <numFmt numFmtId="166" formatCode="&quot;S/&quot;#,##0"/>
    <numFmt numFmtId="167" formatCode="&quot;S/&quot;#,##0.00"/>
  </numFmts>
  <fonts count="24">
    <font>
      <name val="Calibri"/>
      <family val="2"/>
      <color theme="1"/>
      <sz val="11"/>
      <scheme val="minor"/>
    </font>
    <font>
      <name val="Segoe UI"/>
      <b val="1"/>
      <color rgb="002D3339"/>
      <sz val="16"/>
    </font>
    <font>
      <name val="Segoe UI"/>
      <i val="1"/>
      <color rgb="00666666"/>
      <sz val="10"/>
    </font>
    <font>
      <name val="Segoe UI"/>
      <b val="1"/>
      <color rgb="002D3339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D3339"/>
      <sz val="10"/>
    </font>
    <font>
      <name val="Segoe UI"/>
      <i val="1"/>
      <sz val="10"/>
    </font>
    <font>
      <name val="Segoe UI"/>
      <b val="1"/>
      <sz val="10"/>
    </font>
    <font>
      <name val="Segoe UI"/>
      <b val="1"/>
      <color rgb="00A04000"/>
      <sz val="11"/>
    </font>
    <font>
      <name val="Segoe UI"/>
      <b val="1"/>
      <color rgb="002D3339"/>
      <sz val="11"/>
    </font>
    <font>
      <name val="Segoe UI"/>
      <i val="1"/>
      <sz val="9"/>
    </font>
    <font>
      <name val="Segoe UI"/>
      <b val="1"/>
      <color rgb="002D3A2E"/>
      <sz val="16"/>
    </font>
    <font>
      <name val="Segoe UI"/>
      <i val="1"/>
      <color rgb="00555555"/>
      <sz val="11"/>
    </font>
    <font>
      <name val="Segoe UI"/>
      <b val="1"/>
      <color rgb="00555555"/>
      <sz val="9"/>
    </font>
    <font>
      <name val="Segoe UI"/>
      <b val="1"/>
      <color rgb="002D3A2E"/>
      <sz val="14"/>
    </font>
    <font>
      <name val="Segoe UI"/>
      <b val="1"/>
      <color rgb="002D3A2E"/>
      <sz val="11"/>
    </font>
    <font>
      <name val="Segoe UI"/>
      <color theme="1"/>
      <sz val="11"/>
    </font>
    <font>
      <name val="Segoe UI"/>
      <b val="1"/>
      <color rgb="007F6000"/>
      <sz val="10"/>
    </font>
    <font>
      <name val="Segoe UI"/>
      <b val="1"/>
      <color rgb="002E5C1E"/>
      <sz val="10"/>
    </font>
    <font>
      <name val="Segoe UI"/>
      <b val="1"/>
      <color rgb="00595959"/>
      <sz val="10"/>
    </font>
    <font>
      <name val="Segoe UI"/>
      <b val="1"/>
      <color rgb="00C65911"/>
      <sz val="10"/>
    </font>
    <font>
      <name val="Segoe UI"/>
      <b val="1"/>
      <color rgb="00FFFFFF"/>
      <sz val="9"/>
    </font>
    <font>
      <name val="Calibri"/>
      <sz val="10"/>
    </font>
  </fonts>
  <fills count="15">
    <fill>
      <patternFill/>
    </fill>
    <fill>
      <patternFill patternType="gray125"/>
    </fill>
    <fill>
      <patternFill patternType="solid">
        <fgColor rgb="002D3339"/>
        <bgColor rgb="002D3339"/>
      </patternFill>
    </fill>
    <fill>
      <patternFill patternType="solid">
        <fgColor rgb="00C4A484"/>
        <bgColor rgb="00C4A484"/>
      </patternFill>
    </fill>
    <fill>
      <patternFill patternType="solid">
        <fgColor rgb="00EAE6E1"/>
        <bgColor rgb="00EAE6E1"/>
      </patternFill>
    </fill>
    <fill>
      <patternFill patternType="solid">
        <fgColor rgb="00E2EFDA"/>
        <bgColor rgb="00E2EFDA"/>
      </patternFill>
    </fill>
    <fill>
      <patternFill patternType="solid">
        <fgColor rgb="00FBFBFA"/>
        <bgColor rgb="00FBFBFA"/>
      </patternFill>
    </fill>
    <fill>
      <patternFill patternType="solid">
        <fgColor rgb="00FFF2CC"/>
        <bgColor rgb="00FFF2CC"/>
      </patternFill>
    </fill>
    <fill>
      <patternFill patternType="solid">
        <fgColor rgb="00EEF4F1"/>
        <bgColor rgb="00EEF4F1"/>
      </patternFill>
    </fill>
    <fill>
      <patternFill patternType="solid">
        <fgColor rgb="004A5D4C"/>
        <bgColor rgb="004A5D4C"/>
      </patternFill>
    </fill>
    <fill>
      <patternFill patternType="solid">
        <fgColor rgb="00F4F7F5"/>
        <bgColor rgb="00F4F7F5"/>
      </patternFill>
    </fill>
    <fill>
      <patternFill patternType="solid">
        <fgColor rgb="00D0E1D4"/>
        <bgColor rgb="00D0E1D4"/>
      </patternFill>
    </fill>
    <fill>
      <patternFill patternType="solid">
        <fgColor rgb="00E2F0D9"/>
        <bgColor rgb="00E2F0D9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14">
    <border>
      <left/>
      <right/>
      <top/>
      <bottom/>
      <diagonal/>
    </border>
    <border>
      <left style="thin">
        <color rgb="00D0CFC9"/>
      </left>
      <right style="thin">
        <color rgb="00D0CFC9"/>
      </right>
      <top style="thin">
        <color rgb="00D0CFC9"/>
      </top>
      <bottom style="thin">
        <color rgb="00D0CFC9"/>
      </bottom>
    </border>
    <border>
      <top style="thin">
        <color rgb="002D3339"/>
      </top>
      <bottom style="double">
        <color rgb="002D333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2D3A2E"/>
      </top>
      <bottom style="double">
        <color rgb="002D3A2E"/>
      </bottom>
    </border>
    <border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0" fontId="7" fillId="0" borderId="2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3" fontId="6" fillId="0" borderId="2" applyAlignment="1" pivotButton="0" quotePrefix="0" xfId="0">
      <alignment horizontal="center" vertical="center"/>
    </xf>
    <xf numFmtId="0" fontId="0" fillId="0" borderId="2" pivotButton="0" quotePrefix="0" xfId="0"/>
    <xf numFmtId="164" fontId="6" fillId="0" borderId="2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0" fillId="0" borderId="1" pivotButton="0" quotePrefix="0" xfId="0"/>
    <xf numFmtId="0" fontId="6" fillId="4" borderId="2" pivotButton="0" quotePrefix="0" xfId="0"/>
    <xf numFmtId="0" fontId="0" fillId="4" borderId="2" pivotButton="0" quotePrefix="0" xfId="0"/>
    <xf numFmtId="164" fontId="9" fillId="4" borderId="2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5" fillId="4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165" fontId="10" fillId="4" borderId="2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6" fillId="0" borderId="0" pivotButton="0" quotePrefix="0" xfId="0"/>
    <xf numFmtId="0" fontId="4" fillId="9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right" vertical="center"/>
    </xf>
    <xf numFmtId="10" fontId="5" fillId="0" borderId="3" applyAlignment="1" pivotButton="0" quotePrefix="0" xfId="0">
      <alignment horizontal="right" vertical="center"/>
    </xf>
    <xf numFmtId="0" fontId="5" fillId="10" borderId="3" applyAlignment="1" pivotButton="0" quotePrefix="0" xfId="0">
      <alignment horizontal="left" vertical="center"/>
    </xf>
    <xf numFmtId="4" fontId="5" fillId="10" borderId="3" applyAlignment="1" pivotButton="0" quotePrefix="0" xfId="0">
      <alignment horizontal="right" vertical="center"/>
    </xf>
    <xf numFmtId="10" fontId="5" fillId="10" borderId="3" applyAlignment="1" pivotButton="0" quotePrefix="0" xfId="0">
      <alignment horizontal="right" vertical="center"/>
    </xf>
    <xf numFmtId="0" fontId="8" fillId="11" borderId="4" applyAlignment="1" pivotButton="0" quotePrefix="0" xfId="0">
      <alignment horizontal="left" vertical="center"/>
    </xf>
    <xf numFmtId="4" fontId="8" fillId="11" borderId="4" applyAlignment="1" pivotButton="0" quotePrefix="0" xfId="0">
      <alignment horizontal="right" vertical="center"/>
    </xf>
    <xf numFmtId="10" fontId="8" fillId="11" borderId="4" applyAlignment="1" pivotButton="0" quotePrefix="0" xfId="0">
      <alignment horizontal="right" vertical="center"/>
    </xf>
    <xf numFmtId="0" fontId="7" fillId="11" borderId="4" pivotButton="0" quotePrefix="0" xfId="0"/>
    <xf numFmtId="3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6" fontId="8" fillId="0" borderId="3" applyAlignment="1" pivotButton="0" quotePrefix="0" xfId="0">
      <alignment horizontal="right" vertical="center"/>
    </xf>
    <xf numFmtId="3" fontId="5" fillId="10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166" fontId="8" fillId="10" borderId="3" applyAlignment="1" pivotButton="0" quotePrefix="0" xfId="0">
      <alignment horizontal="right" vertical="center"/>
    </xf>
    <xf numFmtId="3" fontId="8" fillId="11" borderId="4" applyAlignment="1" pivotButton="0" quotePrefix="0" xfId="0">
      <alignment horizontal="center" vertical="center"/>
    </xf>
    <xf numFmtId="0" fontId="0" fillId="11" borderId="4" pivotButton="0" quotePrefix="0" xfId="0"/>
    <xf numFmtId="166" fontId="8" fillId="11" borderId="4" applyAlignment="1" pivotButton="0" quotePrefix="0" xfId="0">
      <alignment horizontal="right" vertical="center"/>
    </xf>
    <xf numFmtId="166" fontId="5" fillId="10" borderId="3" applyAlignment="1" pivotButton="0" quotePrefix="0" xfId="0">
      <alignment horizontal="right" vertical="center"/>
    </xf>
    <xf numFmtId="166" fontId="5" fillId="0" borderId="3" applyAlignment="1" pivotButton="0" quotePrefix="0" xfId="0">
      <alignment horizontal="right" vertical="center"/>
    </xf>
    <xf numFmtId="0" fontId="0" fillId="0" borderId="3" pivotButton="0" quotePrefix="0" xfId="0"/>
    <xf numFmtId="0" fontId="8" fillId="11" borderId="4" pivotButton="0" quotePrefix="0" xfId="0"/>
    <xf numFmtId="0" fontId="14" fillId="8" borderId="3" applyAlignment="1" pivotButton="0" quotePrefix="0" xfId="0">
      <alignment horizontal="center" vertical="center"/>
    </xf>
    <xf numFmtId="0" fontId="0" fillId="8" borderId="3" pivotButton="0" quotePrefix="0" xfId="0"/>
    <xf numFmtId="0" fontId="15" fillId="8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left" vertical="center"/>
    </xf>
    <xf numFmtId="4" fontId="17" fillId="0" borderId="3" applyAlignment="1" pivotButton="0" quotePrefix="0" xfId="0">
      <alignment horizontal="right" vertical="center"/>
    </xf>
    <xf numFmtId="166" fontId="17" fillId="0" borderId="3" applyAlignment="1" pivotButton="0" quotePrefix="0" xfId="0">
      <alignment horizontal="right" vertical="center"/>
    </xf>
    <xf numFmtId="0" fontId="18" fillId="7" borderId="3" applyAlignment="1" pivotButton="0" quotePrefix="0" xfId="0">
      <alignment horizontal="center" vertical="center"/>
    </xf>
    <xf numFmtId="0" fontId="17" fillId="10" borderId="3" applyAlignment="1" pivotButton="0" quotePrefix="0" xfId="0">
      <alignment horizontal="center" vertical="center"/>
    </xf>
    <xf numFmtId="0" fontId="17" fillId="10" borderId="3" applyAlignment="1" pivotButton="0" quotePrefix="0" xfId="0">
      <alignment horizontal="left" vertical="center"/>
    </xf>
    <xf numFmtId="4" fontId="17" fillId="10" borderId="3" applyAlignment="1" pivotButton="0" quotePrefix="0" xfId="0">
      <alignment horizontal="right" vertical="center"/>
    </xf>
    <xf numFmtId="166" fontId="17" fillId="10" borderId="3" applyAlignment="1" pivotButton="0" quotePrefix="0" xfId="0">
      <alignment horizontal="right" vertical="center"/>
    </xf>
    <xf numFmtId="0" fontId="19" fillId="12" borderId="3" applyAlignment="1" pivotButton="0" quotePrefix="0" xfId="0">
      <alignment horizontal="center" vertical="center"/>
    </xf>
    <xf numFmtId="0" fontId="20" fillId="13" borderId="3" applyAlignment="1" pivotButton="0" quotePrefix="0" xfId="0">
      <alignment horizontal="center" vertical="center"/>
    </xf>
    <xf numFmtId="0" fontId="21" fillId="14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10" borderId="3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0" fillId="1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4" fillId="10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/>
    </xf>
    <xf numFmtId="4" fontId="8" fillId="4" borderId="3" applyAlignment="1" pivotButton="0" quotePrefix="0" xfId="0">
      <alignment horizontal="right" vertical="center"/>
    </xf>
    <xf numFmtId="167" fontId="8" fillId="4" borderId="3" applyAlignment="1" pivotButton="0" quotePrefix="0" xfId="0">
      <alignment horizontal="right" vertical="center"/>
    </xf>
    <xf numFmtId="167" fontId="5" fillId="0" borderId="3" applyAlignment="1" pivotButton="0" quotePrefix="0" xfId="0">
      <alignment horizontal="right" vertical="center"/>
    </xf>
    <xf numFmtId="167" fontId="8" fillId="0" borderId="3" applyAlignment="1" pivotButton="0" quotePrefix="0" xfId="0">
      <alignment horizontal="right" vertical="center"/>
    </xf>
    <xf numFmtId="167" fontId="5" fillId="10" borderId="3" applyAlignment="1" pivotButton="0" quotePrefix="0" xfId="0">
      <alignment horizontal="right" vertical="center"/>
    </xf>
    <xf numFmtId="167" fontId="8" fillId="10" borderId="3" applyAlignment="1" pivotButton="0" quotePrefix="0" xfId="0">
      <alignment horizontal="right" vertical="center"/>
    </xf>
    <xf numFmtId="0" fontId="0" fillId="11" borderId="5" pivotButton="0" quotePrefix="0" xfId="0"/>
    <xf numFmtId="0" fontId="8" fillId="11" borderId="5" applyAlignment="1" pivotButton="0" quotePrefix="0" xfId="0">
      <alignment horizontal="left" vertical="center"/>
    </xf>
    <xf numFmtId="167" fontId="8" fillId="11" borderId="5" applyAlignment="1" pivotButton="0" quotePrefix="0" xfId="0">
      <alignment horizontal="right" vertical="center"/>
    </xf>
    <xf numFmtId="167" fontId="8" fillId="11" borderId="4" applyAlignment="1" pivotButton="0" quotePrefix="0" xfId="0">
      <alignment horizontal="right" vertical="center"/>
    </xf>
    <xf numFmtId="0" fontId="22" fillId="9" borderId="3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3" fontId="5" fillId="10" borderId="3" applyAlignment="1" pivotButton="0" quotePrefix="0" xfId="0">
      <alignment horizontal="right" vertical="center"/>
    </xf>
    <xf numFmtId="166" fontId="6" fillId="10" borderId="3" applyAlignment="1" pivotButton="0" quotePrefix="0" xfId="0">
      <alignment horizontal="right" vertical="center"/>
    </xf>
    <xf numFmtId="3" fontId="5" fillId="6" borderId="3" applyAlignment="1" pivotButton="0" quotePrefix="0" xfId="0">
      <alignment horizontal="right" vertical="center"/>
    </xf>
    <xf numFmtId="166" fontId="5" fillId="6" borderId="3" applyAlignment="1" pivotButton="0" quotePrefix="0" xfId="0">
      <alignment horizontal="right" vertical="center"/>
    </xf>
    <xf numFmtId="166" fontId="8" fillId="6" borderId="3" applyAlignment="1" pivotButton="0" quotePrefix="0" xfId="0">
      <alignment horizontal="right" vertical="center"/>
    </xf>
    <xf numFmtId="166" fontId="6" fillId="6" borderId="3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/>
    </xf>
    <xf numFmtId="3" fontId="8" fillId="11" borderId="4" applyAlignment="1" pivotButton="0" quotePrefix="0" xfId="0">
      <alignment horizontal="right" vertical="center"/>
    </xf>
    <xf numFmtId="10" fontId="17" fillId="0" borderId="3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3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left" vertical="center"/>
    </xf>
    <xf numFmtId="4" fontId="23" fillId="0" borderId="13" applyAlignment="1" pivotButton="0" quotePrefix="0" xfId="0">
      <alignment horizontal="right" vertical="center"/>
    </xf>
    <xf numFmtId="165" fontId="23" fillId="0" borderId="13" applyAlignment="1" pivotButton="0" quotePrefix="0" xfId="0">
      <alignment horizontal="right" vertical="center"/>
    </xf>
    <xf numFmtId="0" fontId="23" fillId="0" borderId="1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4" customWidth="1" min="2" max="2"/>
    <col width="19" customWidth="1" min="3" max="3"/>
    <col width="22" customWidth="1" min="4" max="4"/>
    <col width="81" customWidth="1" min="5" max="5"/>
    <col width="29" customWidth="1" min="6" max="6"/>
    <col width="26" customWidth="1" min="7" max="7"/>
  </cols>
  <sheetData>
    <row r="2" ht="25" customHeight="1">
      <c r="B2" s="60" t="inlineStr">
        <is>
          <t>CONDOMINIO ECOLOGICO RÚSTICO DE LUJO - MOON PARACAS</t>
        </is>
      </c>
    </row>
    <row r="3">
      <c r="B3" s="61" t="inlineStr">
        <is>
          <t>Ficha Resumen de Áreas, Tipologías y Parámetros Técnicos de Ingeniería</t>
        </is>
      </c>
    </row>
    <row r="5">
      <c r="B5" s="62" t="inlineStr">
        <is>
          <t>1. CUADRO RESUMEN DE DISTRIBUCIÓN DE ÁREAS (11.2 Hectáreas)</t>
        </is>
      </c>
    </row>
    <row r="6" ht="22" customHeight="1">
      <c r="B6" s="63" t="inlineStr">
        <is>
          <t>Componente del Masterplan</t>
        </is>
      </c>
      <c r="C6" s="63" t="inlineStr">
        <is>
          <t>Área (m²)</t>
        </is>
      </c>
      <c r="D6" s="63" t="inlineStr">
        <is>
          <t>Porcentaje (%)</t>
        </is>
      </c>
      <c r="E6" s="63" t="inlineStr">
        <is>
          <t>Descripción Técnica</t>
        </is>
      </c>
    </row>
    <row r="7" ht="20" customHeight="1">
      <c r="B7" s="64" t="inlineStr">
        <is>
          <t>Área Útil Vendible (Lotes y Cocheras)</t>
        </is>
      </c>
      <c r="C7" s="65">
        <f>E21+E27</f>
        <v/>
      </c>
      <c r="D7" s="66">
        <f>C7/$C$12</f>
        <v/>
      </c>
      <c r="E7" s="64" t="inlineStr">
        <is>
          <t>Superficie neta asignada a parcelas privadas de vivienda.</t>
        </is>
      </c>
    </row>
    <row r="8" ht="20" customHeight="1">
      <c r="B8" s="67" t="inlineStr">
        <is>
          <t>Área Aportes (Amenidades / Oasis)</t>
        </is>
      </c>
      <c r="C8" s="68" t="n">
        <v>21149.13</v>
      </c>
      <c r="D8" s="69">
        <f>C8/$C$12</f>
        <v/>
      </c>
      <c r="E8" s="67" t="inlineStr">
        <is>
          <t>Parques comunes, piscina tipo oasis, espejo de agua y senderos Zen.</t>
        </is>
      </c>
    </row>
    <row r="9" ht="20" customHeight="1">
      <c r="B9" s="64" t="inlineStr">
        <is>
          <t>Vías y Faja de Servidumbre</t>
        </is>
      </c>
      <c r="C9" s="65" t="n">
        <v>17137.84</v>
      </c>
      <c r="D9" s="66">
        <f>C9/$C$12</f>
        <v/>
      </c>
      <c r="E9" s="64" t="inlineStr">
        <is>
          <t>Vías de circulación interna de 6.0m de ancho y fajas peatonales.</t>
        </is>
      </c>
    </row>
    <row r="10" ht="20" customHeight="1">
      <c r="B10" s="67" t="inlineStr">
        <is>
          <t>Retiro Perimetral y Residual</t>
        </is>
      </c>
      <c r="C10" s="68" t="n">
        <v>10107.39</v>
      </c>
      <c r="D10" s="69">
        <f>C10/$C$12</f>
        <v/>
      </c>
      <c r="E10" s="67" t="inlineStr">
        <is>
          <t>Margen de seguridad perimetral de amortiguamiento frente al entorno exterior.</t>
        </is>
      </c>
    </row>
    <row r="11" ht="22" customHeight="1">
      <c r="B11" s="91" t="inlineStr">
        <is>
          <t>Buffer de Expansión / Reserva Técnica</t>
        </is>
      </c>
      <c r="C11" s="92" t="n">
        <v>5084.83</v>
      </c>
      <c r="D11" s="130">
        <f>C11/$C$12</f>
        <v/>
      </c>
      <c r="E11" s="91" t="inlineStr">
        <is>
          <t>Margen técnico de tierras liberado tras la re-ingeniería de cabidas útiles.</t>
        </is>
      </c>
    </row>
    <row r="12">
      <c r="B12" s="70" t="inlineStr">
        <is>
          <t>ÁREA TOTAL TERRENO (MATRIZ)</t>
        </is>
      </c>
      <c r="C12" s="71">
        <f>SUM(C7:C11)</f>
        <v/>
      </c>
      <c r="D12" s="72">
        <f>SUM(D7:D11)</f>
        <v/>
      </c>
      <c r="E12" s="73" t="inlineStr">
        <is>
          <t>Validado matemáticamente al 100.00%</t>
        </is>
      </c>
    </row>
    <row r="14" ht="22" customHeight="1">
      <c r="B14" s="62" t="inlineStr">
        <is>
          <t>2. INVENTARIO RESUMEN DE LOTES COMERCIALES</t>
        </is>
      </c>
    </row>
    <row r="15" ht="20" customHeight="1">
      <c r="B15" s="63" t="inlineStr">
        <is>
          <t>Tipología de Lote</t>
        </is>
      </c>
      <c r="C15" s="63" t="inlineStr">
        <is>
          <t>Lotes Vendibles</t>
        </is>
      </c>
      <c r="D15" s="63" t="inlineStr">
        <is>
          <t>Área Promedio (m²)</t>
        </is>
      </c>
      <c r="E15" s="63" t="inlineStr">
        <is>
          <t>Área Total (m²)</t>
        </is>
      </c>
      <c r="F15" s="63" t="inlineStr">
        <is>
          <t>Precio Base x m²</t>
        </is>
      </c>
      <c r="G15" s="63" t="inlineStr">
        <is>
          <t>Recaudación Proyectada</t>
        </is>
      </c>
    </row>
    <row r="16" ht="20" customHeight="1">
      <c r="B16" s="67" t="inlineStr">
        <is>
          <t>Lote Premium (Oasis)</t>
        </is>
      </c>
      <c r="C16" s="77">
        <f>COUNTIF('Inventario Detallado'!D:D, "Lote Premium (Oasis)")</f>
        <v/>
      </c>
      <c r="D16" s="68">
        <f>AVERAGEIF('Inventario Detallado'!D:D, "Lote Premium (Oasis)", 'Inventario Detallado'!E:E)</f>
        <v/>
      </c>
      <c r="E16" s="68">
        <f>SUMIF('Inventario Detallado'!D:D, "Lote Premium (Oasis)", 'Inventario Detallado'!E:E)</f>
        <v/>
      </c>
      <c r="F16" s="78" t="inlineStr">
        <is>
          <t>S/ 170/m² (Fase Estándar)</t>
        </is>
      </c>
      <c r="G16" s="79">
        <f>SUMIF('Inventario Detallado'!D:D, "Lote Premium (Oasis)", 'Inventario Detallado'!G:G)</f>
        <v/>
      </c>
    </row>
    <row r="17" ht="20" customHeight="1">
      <c r="B17" s="67" t="inlineStr">
        <is>
          <t>Lote Zen</t>
        </is>
      </c>
      <c r="C17" s="77">
        <f>COUNTIF('Inventario Detallado'!D:D, "Lote Zen")</f>
        <v/>
      </c>
      <c r="D17" s="68">
        <f>AVERAGEIF('Inventario Detallado'!D:D, "Lote Zen", 'Inventario Detallado'!E:E)</f>
        <v/>
      </c>
      <c r="E17" s="68">
        <f>SUMIF('Inventario Detallado'!D:D, "Lote Zen", 'Inventario Detallado'!E:E)</f>
        <v/>
      </c>
      <c r="F17" s="78" t="inlineStr">
        <is>
          <t>S/ 120/m² (Fase Estándar)</t>
        </is>
      </c>
      <c r="G17" s="79">
        <f>SUMIF('Inventario Detallado'!D:D, "Lote Zen", 'Inventario Detallado'!G:G)</f>
        <v/>
      </c>
    </row>
    <row r="18" ht="20" customHeight="1">
      <c r="B18" s="67" t="inlineStr">
        <is>
          <t>Lote Estándar</t>
        </is>
      </c>
      <c r="C18" s="77">
        <f>COUNTIF('Inventario Detallado'!D:D, "Lote Estándar")</f>
        <v/>
      </c>
      <c r="D18" s="68">
        <f>AVERAGEIF('Inventario Detallado'!D:D, "Lote Estándar", 'Inventario Detallado'!E:E)</f>
        <v/>
      </c>
      <c r="E18" s="68">
        <f>SUMIF('Inventario Detallado'!D:D, "Lote Estándar", 'Inventario Detallado'!E:E)</f>
        <v/>
      </c>
      <c r="F18" s="78" t="inlineStr">
        <is>
          <t>S/ 120/m² (Fase Estándar)</t>
        </is>
      </c>
      <c r="G18" s="79">
        <f>SUMIF('Inventario Detallado'!D:D, "Lote Estándar", 'Inventario Detallado'!G:G)</f>
        <v/>
      </c>
    </row>
    <row r="19" ht="20" customHeight="1">
      <c r="B19" s="67" t="inlineStr">
        <is>
          <t>Lote Tiny House</t>
        </is>
      </c>
      <c r="C19" s="77">
        <f>COUNTIF('Inventario Detallado'!D:D, "Lote Tiny House")</f>
        <v/>
      </c>
      <c r="D19" s="68">
        <f>AVERAGEIF('Inventario Detallado'!D:D, "Lote Tiny House", 'Inventario Detallado'!E:E)</f>
        <v/>
      </c>
      <c r="E19" s="68">
        <f>SUMIF('Inventario Detallado'!D:D, "Lote Tiny House", 'Inventario Detallado'!E:E)</f>
        <v/>
      </c>
      <c r="F19" s="78" t="inlineStr">
        <is>
          <t>S/ 120/m² (Fase Estándar)</t>
        </is>
      </c>
      <c r="G19" s="79">
        <f>SUMIF('Inventario Detallado'!D:D, "Lote Tiny House", 'Inventario Detallado'!G:G)</f>
        <v/>
      </c>
    </row>
    <row r="20" ht="22" customHeight="1">
      <c r="B20" s="67" t="inlineStr">
        <is>
          <t>Lote Ajuste (Irregular)</t>
        </is>
      </c>
      <c r="C20" s="77">
        <f>COUNTIF('Inventario Detallado'!D:D, "Lote Ajuste (Irregular)")</f>
        <v/>
      </c>
      <c r="D20" s="68">
        <f>AVERAGEIF('Inventario Detallado'!D:D, "Lote Ajuste (Irregular)", 'Inventario Detallado'!E:E)</f>
        <v/>
      </c>
      <c r="E20" s="68">
        <f>SUMIF('Inventario Detallado'!D:D, "Lote Ajuste (Irregular)", 'Inventario Detallado'!E:E)</f>
        <v/>
      </c>
      <c r="F20" s="78" t="inlineStr">
        <is>
          <t>S/ 120/m² (Fase Estándar)</t>
        </is>
      </c>
      <c r="G20" s="79">
        <f>SUMIF('Inventario Detallado'!D:D, "Lote Ajuste (Irregular)", 'Inventario Detallado'!G:G)</f>
        <v/>
      </c>
    </row>
    <row r="21">
      <c r="B21" s="70" t="inlineStr">
        <is>
          <t>Subtotal Lotes Residenciales</t>
        </is>
      </c>
      <c r="C21" s="80">
        <f>SUM(C16:C20)</f>
        <v/>
      </c>
      <c r="D21" s="71">
        <f>AVERAGEIF('Inventario Detallado'!D:D, "Lote*", 'Inventario Detallado'!E:E)</f>
        <v/>
      </c>
      <c r="E21" s="71">
        <f>SUM(E16:E20)</f>
        <v/>
      </c>
      <c r="F21" s="81" t="inlineStr"/>
      <c r="G21" s="82">
        <f>SUM(G16:G20)</f>
        <v/>
      </c>
    </row>
    <row r="23" ht="22" customHeight="1">
      <c r="B23" s="62" t="inlineStr">
        <is>
          <t>3. COMPONENTE DE ESTACIONAMIENTOS INTERNOS Y EXTERNOS</t>
        </is>
      </c>
    </row>
    <row r="24" ht="20" customHeight="1">
      <c r="B24" s="63" t="inlineStr">
        <is>
          <t>Tipo de Cochera</t>
        </is>
      </c>
      <c r="C24" s="63" t="inlineStr">
        <is>
          <t>Unidades</t>
        </is>
      </c>
      <c r="D24" s="63" t="inlineStr">
        <is>
          <t>Área Unit. (m²)</t>
        </is>
      </c>
      <c r="E24" s="63" t="inlineStr">
        <is>
          <t>Área Total (m²)</t>
        </is>
      </c>
      <c r="F24" s="63" t="inlineStr">
        <is>
          <t>Precio Venta (S/)</t>
        </is>
      </c>
      <c r="G24" s="63" t="inlineStr">
        <is>
          <t>Recaudación Proyectada</t>
        </is>
      </c>
    </row>
    <row r="25" ht="20" customHeight="1">
      <c r="B25" s="67" t="inlineStr">
        <is>
          <t>Cochera Plus (Propiedad Privada)</t>
        </is>
      </c>
      <c r="C25" s="77">
        <f>COUNTIF('Inventario Detallado'!D:D, "Cochera Plus")</f>
        <v/>
      </c>
      <c r="D25" s="68" t="n">
        <v>12.5</v>
      </c>
      <c r="E25" s="68">
        <f>SUMIF('Inventario Detallado'!D:D, "Cochera Plus", 'Inventario Detallado'!E:E)</f>
        <v/>
      </c>
      <c r="F25" s="83" t="n">
        <v>5000</v>
      </c>
      <c r="G25" s="79">
        <f>SUMIF('Inventario Detallado'!D:D, "Cochera Plus", 'Inventario Detallado'!G:G)</f>
        <v/>
      </c>
    </row>
    <row r="26" ht="22" customHeight="1">
      <c r="B26" s="67" t="inlineStr">
        <is>
          <t>Cochera Visitas (Pública / Libre de Pago)</t>
        </is>
      </c>
      <c r="C26" s="77">
        <f>COUNTIF('Inventario Detallado'!D:D, "Cochera Visitas (Pública)")</f>
        <v/>
      </c>
      <c r="D26" s="68" t="n">
        <v>12.5</v>
      </c>
      <c r="E26" s="68">
        <f>SUMIF('Inventario Detallado'!D:D, "Cochera Visitas (Pública)", 'Inventario Detallado'!E:E)</f>
        <v/>
      </c>
      <c r="F26" s="83" t="n">
        <v>0</v>
      </c>
      <c r="G26" s="79" t="n">
        <v>0</v>
      </c>
    </row>
    <row r="27">
      <c r="B27" s="70" t="inlineStr">
        <is>
          <t>Subtotal Estacionamientos</t>
        </is>
      </c>
      <c r="C27" s="80">
        <f>SUM(C25:C26)</f>
        <v/>
      </c>
      <c r="D27" s="81" t="inlineStr"/>
      <c r="E27" s="71">
        <f>SUM(E25:E26)</f>
        <v/>
      </c>
      <c r="F27" s="81" t="inlineStr"/>
      <c r="G27" s="82">
        <f>SUM(G25:G26)</f>
        <v/>
      </c>
    </row>
    <row r="29">
      <c r="B29" s="62" t="inlineStr">
        <is>
          <t>RECAUDACIÓN Y VALORIZACIÓN CONSOLIDADA</t>
        </is>
      </c>
    </row>
    <row r="30">
      <c r="B30" s="64" t="inlineStr">
        <is>
          <t>Recaudación Proyectada Lotes</t>
        </is>
      </c>
      <c r="C30" s="85" t="n"/>
      <c r="D30" s="85" t="n"/>
      <c r="E30" s="85" t="n"/>
      <c r="F30" s="85" t="n"/>
      <c r="G30" s="76">
        <f>G21</f>
        <v/>
      </c>
    </row>
    <row r="31" ht="24" customHeight="1">
      <c r="B31" s="64" t="inlineStr">
        <is>
          <t>Recaudación Proyectada Cocheras Privadas</t>
        </is>
      </c>
      <c r="C31" s="85" t="n"/>
      <c r="D31" s="85" t="n"/>
      <c r="E31" s="85" t="n"/>
      <c r="F31" s="85" t="n"/>
      <c r="G31" s="76">
        <f>G27</f>
        <v/>
      </c>
    </row>
    <row r="32">
      <c r="B32" s="70" t="inlineStr">
        <is>
          <t>PROYECCIÓN TOTAL BRUTA DEL PROYECTO (100% VENDIDO)</t>
        </is>
      </c>
      <c r="C32" s="86" t="n"/>
      <c r="D32" s="86" t="n"/>
      <c r="E32" s="86" t="n"/>
      <c r="F32" s="86" t="n"/>
      <c r="G32" s="82">
        <f>G30+G31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0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64" customWidth="1" min="2" max="2"/>
    <col width="11" customWidth="1" min="3" max="3"/>
    <col width="27" customWidth="1" min="4" max="4"/>
    <col width="18" customWidth="1" min="5" max="5"/>
    <col width="19" customWidth="1" min="6" max="6"/>
    <col width="21" customWidth="1" min="7" max="7"/>
    <col width="19" customWidth="1" min="8" max="8"/>
    <col width="22" customWidth="1" min="9" max="9"/>
    <col width="20" customWidth="1" min="10" max="10"/>
  </cols>
  <sheetData>
    <row r="2">
      <c r="B2" s="60" t="inlineStr">
        <is>
          <t>CONDOMINIO ECOLOGICO RÚSTICO DE LUJO - MOON PARACAS</t>
        </is>
      </c>
    </row>
    <row r="3">
      <c r="B3" s="61" t="inlineStr">
        <is>
          <t>Inventario Técnico de Lotes Disponibles y en Oferta Especial</t>
        </is>
      </c>
    </row>
    <row r="5">
      <c r="B5" s="87" t="inlineStr">
        <is>
          <t>LOTES DISPONIBLES</t>
        </is>
      </c>
      <c r="C5" s="131" t="n"/>
      <c r="D5" s="87" t="inlineStr">
        <is>
          <t>ÁREA DISPONIBLE (m²)</t>
        </is>
      </c>
      <c r="E5" s="131" t="n"/>
      <c r="F5" s="87" t="inlineStr">
        <is>
          <t>VALOR COMERCIAL (S/)</t>
        </is>
      </c>
      <c r="G5" s="131" t="n"/>
      <c r="H5" s="87" t="inlineStr">
        <is>
          <t>VALOR TOTAL DE OBRA (S/)</t>
        </is>
      </c>
      <c r="I5" s="131" t="n"/>
    </row>
    <row r="6">
      <c r="B6" s="89">
        <f>COUNTIF('Inventario Detallado'!J2:J451, "Disponible") + COUNTIF('Inventario Detallado'!J2:J451, "En Oferta")</f>
        <v/>
      </c>
      <c r="C6" s="132" t="n"/>
      <c r="D6" s="89">
        <f>SUMIF('Inventario Detallado'!J2:J451, "Disponible", 'Inventario Detallado'!E2:E451) + SUMIF('Inventario Detallado'!J2:J451, "En Oferta", 'Inventario Detallado'!E2:E451)</f>
        <v/>
      </c>
      <c r="E6" s="132" t="n"/>
      <c r="F6" s="89">
        <f>SUMIF('Inventario Detallado'!J2:J451, "Disponible", 'Inventario Detallado'!G2:G451) + SUMIF('Inventario Detallado'!J2:J451, "En Oferta", 'Inventario Detallado'!G2:G451)</f>
        <v/>
      </c>
      <c r="G6" s="132" t="n"/>
      <c r="H6" s="89">
        <f>'Presupuesto de Obras'!G37</f>
        <v/>
      </c>
      <c r="I6" s="132" t="n"/>
    </row>
    <row r="7">
      <c r="B7" s="133" t="n"/>
      <c r="C7" s="134" t="n"/>
      <c r="D7" s="133" t="n"/>
      <c r="E7" s="134" t="n"/>
      <c r="F7" s="133" t="n"/>
      <c r="G7" s="134" t="n"/>
      <c r="H7" s="133" t="n"/>
      <c r="I7" s="134" t="n"/>
    </row>
    <row r="9">
      <c r="A9" s="63" t="inlineStr">
        <is>
          <t>ID Lote</t>
        </is>
      </c>
      <c r="B9" s="63" t="inlineStr">
        <is>
          <t>Nombre Comercial</t>
        </is>
      </c>
      <c r="C9" s="63" t="inlineStr">
        <is>
          <t>Manzana</t>
        </is>
      </c>
      <c r="D9" s="63" t="inlineStr">
        <is>
          <t>Tipología</t>
        </is>
      </c>
      <c r="E9" s="63" t="inlineStr">
        <is>
          <t>Área útil (m²)</t>
        </is>
      </c>
      <c r="F9" s="63" t="inlineStr">
        <is>
          <t>Dimensiones</t>
        </is>
      </c>
      <c r="G9" s="63" t="inlineStr">
        <is>
          <t>Precio Venta (S/)</t>
        </is>
      </c>
      <c r="H9" s="63" t="inlineStr">
        <is>
          <t>Dist. Oasis (m)</t>
        </is>
      </c>
      <c r="I9" s="63" t="inlineStr">
        <is>
          <t>Dist. Cocheras (m)</t>
        </is>
      </c>
      <c r="J9" s="63" t="inlineStr">
        <is>
          <t>Estado Comercial</t>
        </is>
      </c>
    </row>
    <row r="10">
      <c r="A10" s="135" t="inlineStr">
        <is>
          <t>L001</t>
        </is>
      </c>
      <c r="B10" s="136" t="inlineStr">
        <is>
          <t>Lote 1</t>
        </is>
      </c>
      <c r="C10" s="135" t="inlineStr">
        <is>
          <t>M1</t>
        </is>
      </c>
      <c r="D10" s="136" t="inlineStr">
        <is>
          <t>Lote Estándar</t>
        </is>
      </c>
      <c r="E10" s="137">
        <f>'Inventario Detallado'!E2</f>
        <v/>
      </c>
      <c r="F10" s="135" t="inlineStr">
        <is>
          <t>12.16m x 18.75m</t>
        </is>
      </c>
      <c r="G10" s="138">
        <f>'Inventario Detallado'!G2</f>
        <v/>
      </c>
      <c r="H10" s="139" t="n">
        <v>106</v>
      </c>
      <c r="I10" s="139" t="n">
        <v>14</v>
      </c>
      <c r="J10" s="135" t="inlineStr">
        <is>
          <t>Disponible</t>
        </is>
      </c>
    </row>
    <row r="11">
      <c r="A11" s="135" t="inlineStr">
        <is>
          <t>L002</t>
        </is>
      </c>
      <c r="B11" s="136" t="inlineStr">
        <is>
          <t>Lote 2</t>
        </is>
      </c>
      <c r="C11" s="135" t="inlineStr">
        <is>
          <t>M1</t>
        </is>
      </c>
      <c r="D11" s="136" t="inlineStr">
        <is>
          <t>Lote Estándar</t>
        </is>
      </c>
      <c r="E11" s="137">
        <f>'Inventario Detallado'!E3</f>
        <v/>
      </c>
      <c r="F11" s="135" t="inlineStr">
        <is>
          <t>12.16m x 18.67m</t>
        </is>
      </c>
      <c r="G11" s="138">
        <f>'Inventario Detallado'!G3</f>
        <v/>
      </c>
      <c r="H11" s="139" t="n">
        <v>106</v>
      </c>
      <c r="I11" s="139" t="n">
        <v>26</v>
      </c>
      <c r="J11" s="135" t="inlineStr">
        <is>
          <t>Disponible</t>
        </is>
      </c>
    </row>
    <row r="12">
      <c r="A12" s="135" t="inlineStr">
        <is>
          <t>L003</t>
        </is>
      </c>
      <c r="B12" s="136" t="inlineStr">
        <is>
          <t>Lote 3</t>
        </is>
      </c>
      <c r="C12" s="135" t="inlineStr">
        <is>
          <t>M1</t>
        </is>
      </c>
      <c r="D12" s="136" t="inlineStr">
        <is>
          <t>Lote Estándar</t>
        </is>
      </c>
      <c r="E12" s="137">
        <f>'Inventario Detallado'!E4</f>
        <v/>
      </c>
      <c r="F12" s="135" t="inlineStr">
        <is>
          <t>12.16m x 18.64m</t>
        </is>
      </c>
      <c r="G12" s="138">
        <f>'Inventario Detallado'!G4</f>
        <v/>
      </c>
      <c r="H12" s="139" t="n">
        <v>106</v>
      </c>
      <c r="I12" s="139" t="n">
        <v>39</v>
      </c>
      <c r="J12" s="135" t="inlineStr">
        <is>
          <t>Disponible</t>
        </is>
      </c>
    </row>
    <row r="13">
      <c r="A13" s="135" t="inlineStr">
        <is>
          <t>L004</t>
        </is>
      </c>
      <c r="B13" s="136" t="inlineStr">
        <is>
          <t>Lote 4</t>
        </is>
      </c>
      <c r="C13" s="135" t="inlineStr">
        <is>
          <t>M1</t>
        </is>
      </c>
      <c r="D13" s="136" t="inlineStr">
        <is>
          <t>Lote Estándar</t>
        </is>
      </c>
      <c r="E13" s="137">
        <f>'Inventario Detallado'!E5</f>
        <v/>
      </c>
      <c r="F13" s="135" t="inlineStr">
        <is>
          <t>12.18m x 18.66m</t>
        </is>
      </c>
      <c r="G13" s="138">
        <f>'Inventario Detallado'!G5</f>
        <v/>
      </c>
      <c r="H13" s="139" t="n">
        <v>107</v>
      </c>
      <c r="I13" s="139" t="n">
        <v>51</v>
      </c>
      <c r="J13" s="135" t="inlineStr">
        <is>
          <t>Disponible</t>
        </is>
      </c>
    </row>
    <row r="14">
      <c r="A14" s="135" t="inlineStr">
        <is>
          <t>L006</t>
        </is>
      </c>
      <c r="B14" s="136" t="inlineStr">
        <is>
          <t>Lote 6</t>
        </is>
      </c>
      <c r="C14" s="135" t="inlineStr">
        <is>
          <t>M1</t>
        </is>
      </c>
      <c r="D14" s="136" t="inlineStr">
        <is>
          <t>Lote Estándar</t>
        </is>
      </c>
      <c r="E14" s="137">
        <f>'Inventario Detallado'!E7</f>
        <v/>
      </c>
      <c r="F14" s="135" t="inlineStr">
        <is>
          <t>12.18m x 18.86m</t>
        </is>
      </c>
      <c r="G14" s="138">
        <f>'Inventario Detallado'!G7</f>
        <v/>
      </c>
      <c r="H14" s="139" t="n">
        <v>109</v>
      </c>
      <c r="I14" s="139" t="n">
        <v>75</v>
      </c>
      <c r="J14" s="135" t="inlineStr">
        <is>
          <t>Disponible</t>
        </is>
      </c>
    </row>
    <row r="15">
      <c r="A15" s="135" t="inlineStr">
        <is>
          <t>L007</t>
        </is>
      </c>
      <c r="B15" s="136" t="inlineStr">
        <is>
          <t>Lote 7</t>
        </is>
      </c>
      <c r="C15" s="135" t="inlineStr">
        <is>
          <t>M1</t>
        </is>
      </c>
      <c r="D15" s="136" t="inlineStr">
        <is>
          <t>Lote Estándar</t>
        </is>
      </c>
      <c r="E15" s="137">
        <f>'Inventario Detallado'!E8</f>
        <v/>
      </c>
      <c r="F15" s="135" t="inlineStr">
        <is>
          <t>12.18m x 19.02m</t>
        </is>
      </c>
      <c r="G15" s="138">
        <f>'Inventario Detallado'!G8</f>
        <v/>
      </c>
      <c r="H15" s="139" t="n">
        <v>110</v>
      </c>
      <c r="I15" s="139" t="n">
        <v>88</v>
      </c>
      <c r="J15" s="135" t="inlineStr">
        <is>
          <t>Disponible</t>
        </is>
      </c>
    </row>
    <row r="16">
      <c r="A16" s="135" t="inlineStr">
        <is>
          <t>L008</t>
        </is>
      </c>
      <c r="B16" s="136" t="inlineStr">
        <is>
          <t>Lote 8</t>
        </is>
      </c>
      <c r="C16" s="135" t="inlineStr">
        <is>
          <t>M2</t>
        </is>
      </c>
      <c r="D16" s="136" t="inlineStr">
        <is>
          <t>Lote Estándar</t>
        </is>
      </c>
      <c r="E16" s="137">
        <f>'Inventario Detallado'!E9</f>
        <v/>
      </c>
      <c r="F16" s="135" t="inlineStr">
        <is>
          <t>12.07m x 19.26m</t>
        </is>
      </c>
      <c r="G16" s="138">
        <f>'Inventario Detallado'!G9</f>
        <v/>
      </c>
      <c r="H16" s="139" t="n">
        <v>112</v>
      </c>
      <c r="I16" s="139" t="n">
        <v>105</v>
      </c>
      <c r="J16" s="135" t="inlineStr">
        <is>
          <t>Disponible</t>
        </is>
      </c>
    </row>
    <row r="17">
      <c r="A17" s="135" t="inlineStr">
        <is>
          <t>L009</t>
        </is>
      </c>
      <c r="B17" s="136" t="inlineStr">
        <is>
          <t>Lote 9</t>
        </is>
      </c>
      <c r="C17" s="135" t="inlineStr">
        <is>
          <t>M2</t>
        </is>
      </c>
      <c r="D17" s="136" t="inlineStr">
        <is>
          <t>Lote Estándar</t>
        </is>
      </c>
      <c r="E17" s="137">
        <f>'Inventario Detallado'!E10</f>
        <v/>
      </c>
      <c r="F17" s="135" t="inlineStr">
        <is>
          <t>12.07m x 19.34m</t>
        </is>
      </c>
      <c r="G17" s="138">
        <f>'Inventario Detallado'!G10</f>
        <v/>
      </c>
      <c r="H17" s="139" t="n">
        <v>112</v>
      </c>
      <c r="I17" s="139" t="n">
        <v>117</v>
      </c>
      <c r="J17" s="135" t="inlineStr">
        <is>
          <t>Disponible</t>
        </is>
      </c>
    </row>
    <row r="18">
      <c r="A18" s="135" t="inlineStr">
        <is>
          <t>L010</t>
        </is>
      </c>
      <c r="B18" s="136" t="inlineStr">
        <is>
          <t>Lote 10</t>
        </is>
      </c>
      <c r="C18" s="135" t="inlineStr">
        <is>
          <t>M2</t>
        </is>
      </c>
      <c r="D18" s="136" t="inlineStr">
        <is>
          <t>Lote Estándar</t>
        </is>
      </c>
      <c r="E18" s="137">
        <f>'Inventario Detallado'!E11</f>
        <v/>
      </c>
      <c r="F18" s="135" t="inlineStr">
        <is>
          <t>12.07m x 19.37m</t>
        </is>
      </c>
      <c r="G18" s="138">
        <f>'Inventario Detallado'!G11</f>
        <v/>
      </c>
      <c r="H18" s="139" t="n">
        <v>112</v>
      </c>
      <c r="I18" s="139" t="n">
        <v>129</v>
      </c>
      <c r="J18" s="135" t="inlineStr">
        <is>
          <t>Disponible</t>
        </is>
      </c>
    </row>
    <row r="19">
      <c r="A19" s="135" t="inlineStr">
        <is>
          <t>L011</t>
        </is>
      </c>
      <c r="B19" s="136" t="inlineStr">
        <is>
          <t>Lote 11</t>
        </is>
      </c>
      <c r="C19" s="135" t="inlineStr">
        <is>
          <t>M2</t>
        </is>
      </c>
      <c r="D19" s="136" t="inlineStr">
        <is>
          <t>Lote Estándar</t>
        </is>
      </c>
      <c r="E19" s="137">
        <f>'Inventario Detallado'!E12</f>
        <v/>
      </c>
      <c r="F19" s="135" t="inlineStr">
        <is>
          <t>12.07m x 19.39m</t>
        </is>
      </c>
      <c r="G19" s="138">
        <f>'Inventario Detallado'!G12</f>
        <v/>
      </c>
      <c r="H19" s="139" t="n">
        <v>112</v>
      </c>
      <c r="I19" s="139" t="n">
        <v>141</v>
      </c>
      <c r="J19" s="135" t="inlineStr">
        <is>
          <t>Disponible</t>
        </is>
      </c>
    </row>
    <row r="20">
      <c r="A20" s="135" t="inlineStr">
        <is>
          <t>L012</t>
        </is>
      </c>
      <c r="B20" s="136" t="inlineStr">
        <is>
          <t>Lote 12</t>
        </is>
      </c>
      <c r="C20" s="135" t="inlineStr">
        <is>
          <t>M2</t>
        </is>
      </c>
      <c r="D20" s="136" t="inlineStr">
        <is>
          <t>Lote Estándar</t>
        </is>
      </c>
      <c r="E20" s="137">
        <f>'Inventario Detallado'!E13</f>
        <v/>
      </c>
      <c r="F20" s="135" t="inlineStr">
        <is>
          <t>12.07m x 19.42m</t>
        </is>
      </c>
      <c r="G20" s="138">
        <f>'Inventario Detallado'!G13</f>
        <v/>
      </c>
      <c r="H20" s="139" t="n">
        <v>112</v>
      </c>
      <c r="I20" s="139" t="n">
        <v>145</v>
      </c>
      <c r="J20" s="135" t="inlineStr">
        <is>
          <t>Disponible</t>
        </is>
      </c>
    </row>
    <row r="21">
      <c r="A21" s="135" t="inlineStr">
        <is>
          <t>L013</t>
        </is>
      </c>
      <c r="B21" s="136" t="inlineStr">
        <is>
          <t>Lote 13</t>
        </is>
      </c>
      <c r="C21" s="135" t="inlineStr">
        <is>
          <t>M2</t>
        </is>
      </c>
      <c r="D21" s="136" t="inlineStr">
        <is>
          <t>Lote Estándar</t>
        </is>
      </c>
      <c r="E21" s="137">
        <f>'Inventario Detallado'!E14</f>
        <v/>
      </c>
      <c r="F21" s="135" t="inlineStr">
        <is>
          <t>12.07m x 19.45m</t>
        </is>
      </c>
      <c r="G21" s="138">
        <f>'Inventario Detallado'!G14</f>
        <v/>
      </c>
      <c r="H21" s="139" t="n">
        <v>112</v>
      </c>
      <c r="I21" s="139" t="n">
        <v>145</v>
      </c>
      <c r="J21" s="135" t="inlineStr">
        <is>
          <t>Disponible</t>
        </is>
      </c>
    </row>
    <row r="22">
      <c r="A22" s="135" t="inlineStr">
        <is>
          <t>L015</t>
        </is>
      </c>
      <c r="B22" s="136" t="inlineStr">
        <is>
          <t>Lote 15</t>
        </is>
      </c>
      <c r="C22" s="135" t="inlineStr">
        <is>
          <t>M2</t>
        </is>
      </c>
      <c r="D22" s="136" t="inlineStr">
        <is>
          <t>Lote Estándar</t>
        </is>
      </c>
      <c r="E22" s="137">
        <f>'Inventario Detallado'!E16</f>
        <v/>
      </c>
      <c r="F22" s="135" t="inlineStr">
        <is>
          <t>12.07m x 19.50m</t>
        </is>
      </c>
      <c r="G22" s="138">
        <f>'Inventario Detallado'!G16</f>
        <v/>
      </c>
      <c r="H22" s="139" t="n">
        <v>113</v>
      </c>
      <c r="I22" s="139" t="n">
        <v>145</v>
      </c>
      <c r="J22" s="135" t="inlineStr">
        <is>
          <t>Disponible</t>
        </is>
      </c>
    </row>
    <row r="23">
      <c r="A23" s="135" t="inlineStr">
        <is>
          <t>L016</t>
        </is>
      </c>
      <c r="B23" s="136" t="inlineStr">
        <is>
          <t>Lote 16</t>
        </is>
      </c>
      <c r="C23" s="135" t="inlineStr">
        <is>
          <t>M2</t>
        </is>
      </c>
      <c r="D23" s="136" t="inlineStr">
        <is>
          <t>Lote Estándar</t>
        </is>
      </c>
      <c r="E23" s="137">
        <f>'Inventario Detallado'!E17</f>
        <v/>
      </c>
      <c r="F23" s="135" t="inlineStr">
        <is>
          <t>12.07m x 19.52m</t>
        </is>
      </c>
      <c r="G23" s="138">
        <f>'Inventario Detallado'!G17</f>
        <v/>
      </c>
      <c r="H23" s="139" t="n">
        <v>113</v>
      </c>
      <c r="I23" s="139" t="n">
        <v>145</v>
      </c>
      <c r="J23" s="135" t="inlineStr">
        <is>
          <t>Disponible</t>
        </is>
      </c>
    </row>
    <row r="24">
      <c r="A24" s="135" t="inlineStr">
        <is>
          <t>L017</t>
        </is>
      </c>
      <c r="B24" s="136" t="inlineStr">
        <is>
          <t>Lote 17</t>
        </is>
      </c>
      <c r="C24" s="135" t="inlineStr">
        <is>
          <t>M2</t>
        </is>
      </c>
      <c r="D24" s="136" t="inlineStr">
        <is>
          <t>Lote Estándar</t>
        </is>
      </c>
      <c r="E24" s="137">
        <f>'Inventario Detallado'!E18</f>
        <v/>
      </c>
      <c r="F24" s="135" t="inlineStr">
        <is>
          <t>12.07m x 19.55m</t>
        </is>
      </c>
      <c r="G24" s="138">
        <f>'Inventario Detallado'!G18</f>
        <v/>
      </c>
      <c r="H24" s="139" t="n">
        <v>112</v>
      </c>
      <c r="I24" s="139" t="n">
        <v>133</v>
      </c>
      <c r="J24" s="135" t="inlineStr">
        <is>
          <t>Disponible</t>
        </is>
      </c>
    </row>
    <row r="25">
      <c r="A25" s="135" t="inlineStr">
        <is>
          <t>L018</t>
        </is>
      </c>
      <c r="B25" s="136" t="inlineStr">
        <is>
          <t>Lote 18</t>
        </is>
      </c>
      <c r="C25" s="135" t="inlineStr">
        <is>
          <t>M3</t>
        </is>
      </c>
      <c r="D25" s="136" t="inlineStr">
        <is>
          <t>Lote Estándar</t>
        </is>
      </c>
      <c r="E25" s="137">
        <f>'Inventario Detallado'!E19</f>
        <v/>
      </c>
      <c r="F25" s="135" t="inlineStr">
        <is>
          <t>12.54m x 19.53m</t>
        </is>
      </c>
      <c r="G25" s="138">
        <f>'Inventario Detallado'!G19</f>
        <v/>
      </c>
      <c r="H25" s="139" t="n">
        <v>111</v>
      </c>
      <c r="I25" s="139" t="n">
        <v>115</v>
      </c>
      <c r="J25" s="135" t="inlineStr">
        <is>
          <t>Disponible</t>
        </is>
      </c>
    </row>
    <row r="26">
      <c r="A26" s="135" t="inlineStr">
        <is>
          <t>L019</t>
        </is>
      </c>
      <c r="B26" s="136" t="inlineStr">
        <is>
          <t>Lote 19</t>
        </is>
      </c>
      <c r="C26" s="135" t="inlineStr">
        <is>
          <t>M3</t>
        </is>
      </c>
      <c r="D26" s="136" t="inlineStr">
        <is>
          <t>Lote Estándar</t>
        </is>
      </c>
      <c r="E26" s="137">
        <f>'Inventario Detallado'!E20</f>
        <v/>
      </c>
      <c r="F26" s="135" t="inlineStr">
        <is>
          <t>12.54m x 19.42m</t>
        </is>
      </c>
      <c r="G26" s="138">
        <f>'Inventario Detallado'!G20</f>
        <v/>
      </c>
      <c r="H26" s="139" t="n">
        <v>110</v>
      </c>
      <c r="I26" s="139" t="n">
        <v>103</v>
      </c>
      <c r="J26" s="135" t="inlineStr">
        <is>
          <t>Disponible</t>
        </is>
      </c>
    </row>
    <row r="27">
      <c r="A27" s="135" t="inlineStr">
        <is>
          <t>L020</t>
        </is>
      </c>
      <c r="B27" s="136" t="inlineStr">
        <is>
          <t>Lote 20</t>
        </is>
      </c>
      <c r="C27" s="135" t="inlineStr">
        <is>
          <t>M3</t>
        </is>
      </c>
      <c r="D27" s="136" t="inlineStr">
        <is>
          <t>Lote Estándar</t>
        </is>
      </c>
      <c r="E27" s="137">
        <f>'Inventario Detallado'!E21</f>
        <v/>
      </c>
      <c r="F27" s="135" t="inlineStr">
        <is>
          <t>12.54m x 19.29m</t>
        </is>
      </c>
      <c r="G27" s="138">
        <f>'Inventario Detallado'!G21</f>
        <v/>
      </c>
      <c r="H27" s="139" t="n">
        <v>109</v>
      </c>
      <c r="I27" s="139" t="n">
        <v>91</v>
      </c>
      <c r="J27" s="135" t="inlineStr">
        <is>
          <t>Disponible</t>
        </is>
      </c>
    </row>
    <row r="28">
      <c r="A28" s="135" t="inlineStr">
        <is>
          <t>L021</t>
        </is>
      </c>
      <c r="B28" s="136" t="inlineStr">
        <is>
          <t>Lote 21</t>
        </is>
      </c>
      <c r="C28" s="135" t="inlineStr">
        <is>
          <t>M3</t>
        </is>
      </c>
      <c r="D28" s="136" t="inlineStr">
        <is>
          <t>Lote Estándar</t>
        </is>
      </c>
      <c r="E28" s="137">
        <f>'Inventario Detallado'!E22</f>
        <v/>
      </c>
      <c r="F28" s="135" t="inlineStr">
        <is>
          <t>12.54m x 19.19m</t>
        </is>
      </c>
      <c r="G28" s="138">
        <f>'Inventario Detallado'!G22</f>
        <v/>
      </c>
      <c r="H28" s="139" t="n">
        <v>109</v>
      </c>
      <c r="I28" s="139" t="n">
        <v>78</v>
      </c>
      <c r="J28" s="135" t="inlineStr">
        <is>
          <t>Disponible</t>
        </is>
      </c>
    </row>
    <row r="29">
      <c r="A29" s="135" t="inlineStr">
        <is>
          <t>L022</t>
        </is>
      </c>
      <c r="B29" s="136" t="inlineStr">
        <is>
          <t>Lote 22</t>
        </is>
      </c>
      <c r="C29" s="135" t="inlineStr">
        <is>
          <t>M3</t>
        </is>
      </c>
      <c r="D29" s="136" t="inlineStr">
        <is>
          <t>Lote Estándar</t>
        </is>
      </c>
      <c r="E29" s="137">
        <f>'Inventario Detallado'!E23</f>
        <v/>
      </c>
      <c r="F29" s="135" t="inlineStr">
        <is>
          <t>12.56m x 19.15m</t>
        </is>
      </c>
      <c r="G29" s="138">
        <f>'Inventario Detallado'!G23</f>
        <v/>
      </c>
      <c r="H29" s="139" t="n">
        <v>109</v>
      </c>
      <c r="I29" s="139" t="n">
        <v>65</v>
      </c>
      <c r="J29" s="135" t="inlineStr">
        <is>
          <t>Disponible</t>
        </is>
      </c>
    </row>
    <row r="30">
      <c r="A30" s="135" t="inlineStr">
        <is>
          <t>L023</t>
        </is>
      </c>
      <c r="B30" s="136" t="inlineStr">
        <is>
          <t>Lote 23</t>
        </is>
      </c>
      <c r="C30" s="135" t="inlineStr">
        <is>
          <t>M3</t>
        </is>
      </c>
      <c r="D30" s="136" t="inlineStr">
        <is>
          <t>Lote Estándar</t>
        </is>
      </c>
      <c r="E30" s="137">
        <f>'Inventario Detallado'!E24</f>
        <v/>
      </c>
      <c r="F30" s="135" t="inlineStr">
        <is>
          <t>12.56m x 19.16m</t>
        </is>
      </c>
      <c r="G30" s="138">
        <f>'Inventario Detallado'!G24</f>
        <v/>
      </c>
      <c r="H30" s="139" t="n">
        <v>110</v>
      </c>
      <c r="I30" s="139" t="n">
        <v>53</v>
      </c>
      <c r="J30" s="135" t="inlineStr">
        <is>
          <t>Disponible</t>
        </is>
      </c>
    </row>
    <row r="31">
      <c r="A31" s="135" t="inlineStr">
        <is>
          <t>L024</t>
        </is>
      </c>
      <c r="B31" s="136" t="inlineStr">
        <is>
          <t>Lote 24</t>
        </is>
      </c>
      <c r="C31" s="135" t="inlineStr">
        <is>
          <t>M3</t>
        </is>
      </c>
      <c r="D31" s="136" t="inlineStr">
        <is>
          <t>Lote Estándar</t>
        </is>
      </c>
      <c r="E31" s="137">
        <f>'Inventario Detallado'!E25</f>
        <v/>
      </c>
      <c r="F31" s="135" t="inlineStr">
        <is>
          <t>12.56m x 19.22m</t>
        </is>
      </c>
      <c r="G31" s="138">
        <f>'Inventario Detallado'!G25</f>
        <v/>
      </c>
      <c r="H31" s="139" t="n">
        <v>110</v>
      </c>
      <c r="I31" s="139" t="n">
        <v>40</v>
      </c>
      <c r="J31" s="135" t="inlineStr">
        <is>
          <t>Disponible</t>
        </is>
      </c>
    </row>
    <row r="32">
      <c r="A32" s="135" t="inlineStr">
        <is>
          <t>L025</t>
        </is>
      </c>
      <c r="B32" s="136" t="inlineStr">
        <is>
          <t>Lote 25</t>
        </is>
      </c>
      <c r="C32" s="135" t="inlineStr">
        <is>
          <t>M3</t>
        </is>
      </c>
      <c r="D32" s="136" t="inlineStr">
        <is>
          <t>Lote Estándar</t>
        </is>
      </c>
      <c r="E32" s="137">
        <f>'Inventario Detallado'!E26</f>
        <v/>
      </c>
      <c r="F32" s="135" t="inlineStr">
        <is>
          <t>12.56m x 19.34m</t>
        </is>
      </c>
      <c r="G32" s="138">
        <f>'Inventario Detallado'!G26</f>
        <v/>
      </c>
      <c r="H32" s="139" t="n">
        <v>111</v>
      </c>
      <c r="I32" s="139" t="n">
        <v>28</v>
      </c>
      <c r="J32" s="135" t="inlineStr">
        <is>
          <t>Disponible</t>
        </is>
      </c>
    </row>
    <row r="33">
      <c r="A33" s="135" t="inlineStr">
        <is>
          <t>L026</t>
        </is>
      </c>
      <c r="B33" s="136" t="inlineStr">
        <is>
          <t>Lote 26</t>
        </is>
      </c>
      <c r="C33" s="135" t="inlineStr">
        <is>
          <t>M3</t>
        </is>
      </c>
      <c r="D33" s="136" t="inlineStr">
        <is>
          <t>Lote Estándar</t>
        </is>
      </c>
      <c r="E33" s="137">
        <f>'Inventario Detallado'!E27</f>
        <v/>
      </c>
      <c r="F33" s="135" t="inlineStr">
        <is>
          <t>12.56m x 19.51m</t>
        </is>
      </c>
      <c r="G33" s="138">
        <f>'Inventario Detallado'!G27</f>
        <v/>
      </c>
      <c r="H33" s="139" t="n">
        <v>113</v>
      </c>
      <c r="I33" s="139" t="n">
        <v>15</v>
      </c>
      <c r="J33" s="135" t="inlineStr">
        <is>
          <t>Disponible</t>
        </is>
      </c>
    </row>
    <row r="34">
      <c r="A34" s="135" t="inlineStr">
        <is>
          <t>L027</t>
        </is>
      </c>
      <c r="B34" s="136" t="inlineStr">
        <is>
          <t>Lote 27</t>
        </is>
      </c>
      <c r="C34" s="135" t="inlineStr">
        <is>
          <t>M4</t>
        </is>
      </c>
      <c r="D34" s="136" t="inlineStr">
        <is>
          <t>Lote Estándar</t>
        </is>
      </c>
      <c r="E34" s="137">
        <f>'Inventario Detallado'!E28</f>
        <v/>
      </c>
      <c r="F34" s="135" t="inlineStr">
        <is>
          <t>12.16m x 12.93m</t>
        </is>
      </c>
      <c r="G34" s="138">
        <f>'Inventario Detallado'!G28</f>
        <v/>
      </c>
      <c r="H34" s="139" t="n">
        <v>83</v>
      </c>
      <c r="I34" s="139" t="n">
        <v>14</v>
      </c>
      <c r="J34" s="135" t="inlineStr">
        <is>
          <t>Disponible</t>
        </is>
      </c>
    </row>
    <row r="35">
      <c r="A35" s="135" t="inlineStr">
        <is>
          <t>L028</t>
        </is>
      </c>
      <c r="B35" s="136" t="inlineStr">
        <is>
          <t>Lote 28</t>
        </is>
      </c>
      <c r="C35" s="135" t="inlineStr">
        <is>
          <t>M4</t>
        </is>
      </c>
      <c r="D35" s="136" t="inlineStr">
        <is>
          <t>Lote Estándar</t>
        </is>
      </c>
      <c r="E35" s="137">
        <f>'Inventario Detallado'!E29</f>
        <v/>
      </c>
      <c r="F35" s="135" t="inlineStr">
        <is>
          <t>12.16m x 12.88m</t>
        </is>
      </c>
      <c r="G35" s="138">
        <f>'Inventario Detallado'!G29</f>
        <v/>
      </c>
      <c r="H35" s="139" t="n">
        <v>82</v>
      </c>
      <c r="I35" s="139" t="n">
        <v>26</v>
      </c>
      <c r="J35" s="135" t="inlineStr">
        <is>
          <t>Disponible</t>
        </is>
      </c>
    </row>
    <row r="36">
      <c r="A36" s="135" t="inlineStr">
        <is>
          <t>L029</t>
        </is>
      </c>
      <c r="B36" s="136" t="inlineStr">
        <is>
          <t>Lote 29</t>
        </is>
      </c>
      <c r="C36" s="135" t="inlineStr">
        <is>
          <t>M4</t>
        </is>
      </c>
      <c r="D36" s="136" t="inlineStr">
        <is>
          <t>Lote Estándar</t>
        </is>
      </c>
      <c r="E36" s="137">
        <f>'Inventario Detallado'!E30</f>
        <v/>
      </c>
      <c r="F36" s="135" t="inlineStr">
        <is>
          <t>12.16m x 12.86m</t>
        </is>
      </c>
      <c r="G36" s="138">
        <f>'Inventario Detallado'!G30</f>
        <v/>
      </c>
      <c r="H36" s="139" t="n">
        <v>83</v>
      </c>
      <c r="I36" s="139" t="n">
        <v>38</v>
      </c>
      <c r="J36" s="135" t="inlineStr">
        <is>
          <t>Disponible</t>
        </is>
      </c>
    </row>
    <row r="37">
      <c r="A37" s="135" t="inlineStr">
        <is>
          <t>L030</t>
        </is>
      </c>
      <c r="B37" s="136" t="inlineStr">
        <is>
          <t>Lote 30</t>
        </is>
      </c>
      <c r="C37" s="135" t="inlineStr">
        <is>
          <t>M4</t>
        </is>
      </c>
      <c r="D37" s="136" t="inlineStr">
        <is>
          <t>Lote Estándar</t>
        </is>
      </c>
      <c r="E37" s="137">
        <f>'Inventario Detallado'!E31</f>
        <v/>
      </c>
      <c r="F37" s="135" t="inlineStr">
        <is>
          <t>12.19m x 12.87m</t>
        </is>
      </c>
      <c r="G37" s="138">
        <f>'Inventario Detallado'!G31</f>
        <v/>
      </c>
      <c r="H37" s="139" t="n">
        <v>83</v>
      </c>
      <c r="I37" s="139" t="n">
        <v>51</v>
      </c>
      <c r="J37" s="135" t="inlineStr">
        <is>
          <t>Disponible</t>
        </is>
      </c>
    </row>
    <row r="38">
      <c r="A38" s="135" t="inlineStr">
        <is>
          <t>L031</t>
        </is>
      </c>
      <c r="B38" s="136" t="inlineStr">
        <is>
          <t>Lote 31</t>
        </is>
      </c>
      <c r="C38" s="135" t="inlineStr">
        <is>
          <t>M4</t>
        </is>
      </c>
      <c r="D38" s="136" t="inlineStr">
        <is>
          <t>Lote Estándar</t>
        </is>
      </c>
      <c r="E38" s="137">
        <f>'Inventario Detallado'!E32</f>
        <v/>
      </c>
      <c r="F38" s="135" t="inlineStr">
        <is>
          <t>12.19m x 12.92m</t>
        </is>
      </c>
      <c r="G38" s="138">
        <f>'Inventario Detallado'!G32</f>
        <v/>
      </c>
      <c r="H38" s="139" t="n">
        <v>84</v>
      </c>
      <c r="I38" s="139" t="n">
        <v>63</v>
      </c>
      <c r="J38" s="135" t="inlineStr">
        <is>
          <t>Disponible</t>
        </is>
      </c>
    </row>
    <row r="39">
      <c r="A39" s="135" t="inlineStr">
        <is>
          <t>L032</t>
        </is>
      </c>
      <c r="B39" s="136" t="inlineStr">
        <is>
          <t>Lote 32</t>
        </is>
      </c>
      <c r="C39" s="135" t="inlineStr">
        <is>
          <t>M4</t>
        </is>
      </c>
      <c r="D39" s="136" t="inlineStr">
        <is>
          <t>Lote Estándar</t>
        </is>
      </c>
      <c r="E39" s="137">
        <f>'Inventario Detallado'!E33</f>
        <v/>
      </c>
      <c r="F39" s="135" t="inlineStr">
        <is>
          <t>12.19m x 13.01m</t>
        </is>
      </c>
      <c r="G39" s="138">
        <f>'Inventario Detallado'!G33</f>
        <v/>
      </c>
      <c r="H39" s="139" t="n">
        <v>85</v>
      </c>
      <c r="I39" s="139" t="n">
        <v>75</v>
      </c>
      <c r="J39" s="135" t="inlineStr">
        <is>
          <t>Disponible</t>
        </is>
      </c>
    </row>
    <row r="40">
      <c r="A40" s="135" t="inlineStr">
        <is>
          <t>L034</t>
        </is>
      </c>
      <c r="B40" s="136" t="inlineStr">
        <is>
          <t>Lote 34</t>
        </is>
      </c>
      <c r="C40" s="135" t="inlineStr">
        <is>
          <t>M5</t>
        </is>
      </c>
      <c r="D40" s="136" t="inlineStr">
        <is>
          <t>Lote Estándar</t>
        </is>
      </c>
      <c r="E40" s="137">
        <f>'Inventario Detallado'!E35</f>
        <v/>
      </c>
      <c r="F40" s="135" t="inlineStr">
        <is>
          <t>12.07m x 13.28m</t>
        </is>
      </c>
      <c r="G40" s="138">
        <f>'Inventario Detallado'!G35</f>
        <v/>
      </c>
      <c r="H40" s="139" t="n">
        <v>87</v>
      </c>
      <c r="I40" s="139" t="n">
        <v>105</v>
      </c>
      <c r="J40" s="135" t="inlineStr">
        <is>
          <t>Disponible</t>
        </is>
      </c>
    </row>
    <row r="41">
      <c r="A41" s="135" t="inlineStr">
        <is>
          <t>L035</t>
        </is>
      </c>
      <c r="B41" s="136" t="inlineStr">
        <is>
          <t>Lote 35</t>
        </is>
      </c>
      <c r="C41" s="135" t="inlineStr">
        <is>
          <t>M5</t>
        </is>
      </c>
      <c r="D41" s="136" t="inlineStr">
        <is>
          <t>Lote Estándar</t>
        </is>
      </c>
      <c r="E41" s="137">
        <f>'Inventario Detallado'!E36</f>
        <v/>
      </c>
      <c r="F41" s="135" t="inlineStr">
        <is>
          <t>12.07m x 13.34m</t>
        </is>
      </c>
      <c r="G41" s="138">
        <f>'Inventario Detallado'!G36</f>
        <v/>
      </c>
      <c r="H41" s="139" t="n">
        <v>87</v>
      </c>
      <c r="I41" s="139" t="n">
        <v>116</v>
      </c>
      <c r="J41" s="135" t="inlineStr">
        <is>
          <t>Disponible</t>
        </is>
      </c>
    </row>
    <row r="42">
      <c r="A42" s="135" t="inlineStr">
        <is>
          <t>L036</t>
        </is>
      </c>
      <c r="B42" s="136" t="inlineStr">
        <is>
          <t>Lote 36</t>
        </is>
      </c>
      <c r="C42" s="135" t="inlineStr">
        <is>
          <t>M5</t>
        </is>
      </c>
      <c r="D42" s="136" t="inlineStr">
        <is>
          <t>Lote Estándar</t>
        </is>
      </c>
      <c r="E42" s="137">
        <f>'Inventario Detallado'!E37</f>
        <v/>
      </c>
      <c r="F42" s="135" t="inlineStr">
        <is>
          <t>12.07m x 13.36m</t>
        </is>
      </c>
      <c r="G42" s="138">
        <f>'Inventario Detallado'!G37</f>
        <v/>
      </c>
      <c r="H42" s="139" t="n">
        <v>87</v>
      </c>
      <c r="I42" s="139" t="n">
        <v>128</v>
      </c>
      <c r="J42" s="135" t="inlineStr">
        <is>
          <t>Disponible</t>
        </is>
      </c>
    </row>
    <row r="43">
      <c r="A43" s="135" t="inlineStr">
        <is>
          <t>L037</t>
        </is>
      </c>
      <c r="B43" s="136" t="inlineStr">
        <is>
          <t>Lote 37</t>
        </is>
      </c>
      <c r="C43" s="135" t="inlineStr">
        <is>
          <t>M5</t>
        </is>
      </c>
      <c r="D43" s="136" t="inlineStr">
        <is>
          <t>Lote Estándar</t>
        </is>
      </c>
      <c r="E43" s="137">
        <f>'Inventario Detallado'!E38</f>
        <v/>
      </c>
      <c r="F43" s="135" t="inlineStr">
        <is>
          <t>12.07m x 13.38m</t>
        </is>
      </c>
      <c r="G43" s="138">
        <f>'Inventario Detallado'!G38</f>
        <v/>
      </c>
      <c r="H43" s="139" t="n">
        <v>88</v>
      </c>
      <c r="I43" s="139" t="n">
        <v>140</v>
      </c>
      <c r="J43" s="135" t="inlineStr">
        <is>
          <t>Disponible</t>
        </is>
      </c>
    </row>
    <row r="44">
      <c r="A44" s="135" t="inlineStr">
        <is>
          <t>L038</t>
        </is>
      </c>
      <c r="B44" s="136" t="inlineStr">
        <is>
          <t>Lote 38</t>
        </is>
      </c>
      <c r="C44" s="135" t="inlineStr">
        <is>
          <t>M5</t>
        </is>
      </c>
      <c r="D44" s="136" t="inlineStr">
        <is>
          <t>Lote Estándar</t>
        </is>
      </c>
      <c r="E44" s="137">
        <f>'Inventario Detallado'!E39</f>
        <v/>
      </c>
      <c r="F44" s="135" t="inlineStr">
        <is>
          <t>12.07m x 13.39m</t>
        </is>
      </c>
      <c r="G44" s="138">
        <f>'Inventario Detallado'!G39</f>
        <v/>
      </c>
      <c r="H44" s="139" t="n">
        <v>88</v>
      </c>
      <c r="I44" s="139" t="n">
        <v>145</v>
      </c>
      <c r="J44" s="135" t="inlineStr">
        <is>
          <t>Disponible</t>
        </is>
      </c>
    </row>
    <row r="45">
      <c r="A45" s="135" t="inlineStr">
        <is>
          <t>L039</t>
        </is>
      </c>
      <c r="B45" s="136" t="inlineStr">
        <is>
          <t>Lote 39</t>
        </is>
      </c>
      <c r="C45" s="135" t="inlineStr">
        <is>
          <t>M5</t>
        </is>
      </c>
      <c r="D45" s="136" t="inlineStr">
        <is>
          <t>Lote Estándar</t>
        </is>
      </c>
      <c r="E45" s="137">
        <f>'Inventario Detallado'!E40</f>
        <v/>
      </c>
      <c r="F45" s="135" t="inlineStr">
        <is>
          <t>12.07m x 13.41m</t>
        </is>
      </c>
      <c r="G45" s="138">
        <f>'Inventario Detallado'!G40</f>
        <v/>
      </c>
      <c r="H45" s="139" t="n">
        <v>88</v>
      </c>
      <c r="I45" s="139" t="n">
        <v>145</v>
      </c>
      <c r="J45" s="135" t="inlineStr">
        <is>
          <t>Disponible</t>
        </is>
      </c>
    </row>
    <row r="46">
      <c r="A46" s="135" t="inlineStr">
        <is>
          <t>L040</t>
        </is>
      </c>
      <c r="B46" s="136" t="inlineStr">
        <is>
          <t>Lote 40</t>
        </is>
      </c>
      <c r="C46" s="135" t="inlineStr">
        <is>
          <t>M5</t>
        </is>
      </c>
      <c r="D46" s="136" t="inlineStr">
        <is>
          <t>Lote Estándar</t>
        </is>
      </c>
      <c r="E46" s="137">
        <f>'Inventario Detallado'!E41</f>
        <v/>
      </c>
      <c r="F46" s="135" t="inlineStr">
        <is>
          <t>12.07m x 13.43m</t>
        </is>
      </c>
      <c r="G46" s="138">
        <f>'Inventario Detallado'!G41</f>
        <v/>
      </c>
      <c r="H46" s="139" t="n">
        <v>88</v>
      </c>
      <c r="I46" s="139" t="n">
        <v>145</v>
      </c>
      <c r="J46" s="135" t="inlineStr">
        <is>
          <t>Disponible</t>
        </is>
      </c>
    </row>
    <row r="47">
      <c r="A47" s="135" t="inlineStr">
        <is>
          <t>L041</t>
        </is>
      </c>
      <c r="B47" s="136" t="inlineStr">
        <is>
          <t>Lote 41</t>
        </is>
      </c>
      <c r="C47" s="135" t="inlineStr">
        <is>
          <t>M5</t>
        </is>
      </c>
      <c r="D47" s="136" t="inlineStr">
        <is>
          <t>Lote Estándar</t>
        </is>
      </c>
      <c r="E47" s="137">
        <f>'Inventario Detallado'!E42</f>
        <v/>
      </c>
      <c r="F47" s="135" t="inlineStr">
        <is>
          <t>12.07m x 13.45m</t>
        </is>
      </c>
      <c r="G47" s="138">
        <f>'Inventario Detallado'!G42</f>
        <v/>
      </c>
      <c r="H47" s="139" t="n">
        <v>88</v>
      </c>
      <c r="I47" s="139" t="n">
        <v>145</v>
      </c>
      <c r="J47" s="135" t="inlineStr">
        <is>
          <t>Disponible</t>
        </is>
      </c>
    </row>
    <row r="48">
      <c r="A48" s="135" t="inlineStr">
        <is>
          <t>L042</t>
        </is>
      </c>
      <c r="B48" s="136" t="inlineStr">
        <is>
          <t>Lote 42</t>
        </is>
      </c>
      <c r="C48" s="135" t="inlineStr">
        <is>
          <t>M5</t>
        </is>
      </c>
      <c r="D48" s="136" t="inlineStr">
        <is>
          <t>Lote Estándar</t>
        </is>
      </c>
      <c r="E48" s="137">
        <f>'Inventario Detallado'!E43</f>
        <v/>
      </c>
      <c r="F48" s="135" t="inlineStr">
        <is>
          <t>12.07m x 13.46m</t>
        </is>
      </c>
      <c r="G48" s="138">
        <f>'Inventario Detallado'!G43</f>
        <v/>
      </c>
      <c r="H48" s="139" t="n">
        <v>88</v>
      </c>
      <c r="I48" s="139" t="n">
        <v>145</v>
      </c>
      <c r="J48" s="135" t="inlineStr">
        <is>
          <t>Disponible</t>
        </is>
      </c>
    </row>
    <row r="49">
      <c r="A49" s="135" t="inlineStr">
        <is>
          <t>L043</t>
        </is>
      </c>
      <c r="B49" s="136" t="inlineStr">
        <is>
          <t>Lote 43</t>
        </is>
      </c>
      <c r="C49" s="135" t="inlineStr">
        <is>
          <t>M5</t>
        </is>
      </c>
      <c r="D49" s="136" t="inlineStr">
        <is>
          <t>Lote Estándar</t>
        </is>
      </c>
      <c r="E49" s="137">
        <f>'Inventario Detallado'!E44</f>
        <v/>
      </c>
      <c r="F49" s="135" t="inlineStr">
        <is>
          <t>12.07m x 13.48m</t>
        </is>
      </c>
      <c r="G49" s="138">
        <f>'Inventario Detallado'!G44</f>
        <v/>
      </c>
      <c r="H49" s="139" t="n">
        <v>88</v>
      </c>
      <c r="I49" s="139" t="n">
        <v>133</v>
      </c>
      <c r="J49" s="135" t="inlineStr">
        <is>
          <t>Disponible</t>
        </is>
      </c>
    </row>
    <row r="50">
      <c r="A50" s="135" t="inlineStr">
        <is>
          <t>L044</t>
        </is>
      </c>
      <c r="B50" s="136" t="inlineStr">
        <is>
          <t>Lote 44</t>
        </is>
      </c>
      <c r="C50" s="135" t="inlineStr">
        <is>
          <t>M6</t>
        </is>
      </c>
      <c r="D50" s="136" t="inlineStr">
        <is>
          <t>Lote Estándar</t>
        </is>
      </c>
      <c r="E50" s="137">
        <f>'Inventario Detallado'!E45</f>
        <v/>
      </c>
      <c r="F50" s="135" t="inlineStr">
        <is>
          <t>12.55m x 13.47m</t>
        </is>
      </c>
      <c r="G50" s="138">
        <f>'Inventario Detallado'!G45</f>
        <v/>
      </c>
      <c r="H50" s="139" t="n">
        <v>86</v>
      </c>
      <c r="I50" s="139" t="n">
        <v>116</v>
      </c>
      <c r="J50" s="135" t="inlineStr">
        <is>
          <t>Disponible</t>
        </is>
      </c>
    </row>
    <row r="51">
      <c r="A51" s="135" t="inlineStr">
        <is>
          <t>L045</t>
        </is>
      </c>
      <c r="B51" s="136" t="inlineStr">
        <is>
          <t>Lote 45</t>
        </is>
      </c>
      <c r="C51" s="135" t="inlineStr">
        <is>
          <t>M6</t>
        </is>
      </c>
      <c r="D51" s="136" t="inlineStr">
        <is>
          <t>Lote Estándar</t>
        </is>
      </c>
      <c r="E51" s="137">
        <f>'Inventario Detallado'!E46</f>
        <v/>
      </c>
      <c r="F51" s="135" t="inlineStr">
        <is>
          <t>12.55m x 13.39m</t>
        </is>
      </c>
      <c r="G51" s="138">
        <f>'Inventario Detallado'!G46</f>
        <v/>
      </c>
      <c r="H51" s="139" t="n">
        <v>86</v>
      </c>
      <c r="I51" s="139" t="n">
        <v>103</v>
      </c>
      <c r="J51" s="135" t="inlineStr">
        <is>
          <t>Disponible</t>
        </is>
      </c>
    </row>
    <row r="52">
      <c r="A52" s="135" t="inlineStr">
        <is>
          <t>L046</t>
        </is>
      </c>
      <c r="B52" s="136" t="inlineStr">
        <is>
          <t>Lote 46</t>
        </is>
      </c>
      <c r="C52" s="135" t="inlineStr">
        <is>
          <t>M6</t>
        </is>
      </c>
      <c r="D52" s="136" t="inlineStr">
        <is>
          <t>Lote Estándar</t>
        </is>
      </c>
      <c r="E52" s="137">
        <f>'Inventario Detallado'!E47</f>
        <v/>
      </c>
      <c r="F52" s="135" t="inlineStr">
        <is>
          <t>12.55m x 13.30m</t>
        </is>
      </c>
      <c r="G52" s="138">
        <f>'Inventario Detallado'!G47</f>
        <v/>
      </c>
      <c r="H52" s="139" t="n">
        <v>85</v>
      </c>
      <c r="I52" s="139" t="n">
        <v>91</v>
      </c>
      <c r="J52" s="135" t="inlineStr">
        <is>
          <t>Disponible</t>
        </is>
      </c>
    </row>
    <row r="53">
      <c r="A53" s="135" t="inlineStr">
        <is>
          <t>L048</t>
        </is>
      </c>
      <c r="B53" s="136" t="inlineStr">
        <is>
          <t>Lote 48</t>
        </is>
      </c>
      <c r="C53" s="135" t="inlineStr">
        <is>
          <t>M6</t>
        </is>
      </c>
      <c r="D53" s="136" t="inlineStr">
        <is>
          <t>Lote Estándar</t>
        </is>
      </c>
      <c r="E53" s="137">
        <f>'Inventario Detallado'!E49</f>
        <v/>
      </c>
      <c r="F53" s="135" t="inlineStr">
        <is>
          <t>12.57m x 13.20m</t>
        </is>
      </c>
      <c r="G53" s="138">
        <f>'Inventario Detallado'!G49</f>
        <v/>
      </c>
      <c r="H53" s="139" t="n">
        <v>85</v>
      </c>
      <c r="I53" s="139" t="n">
        <v>65</v>
      </c>
      <c r="J53" s="135" t="inlineStr">
        <is>
          <t>Disponible</t>
        </is>
      </c>
    </row>
    <row r="54">
      <c r="A54" s="135" t="inlineStr">
        <is>
          <t>L049</t>
        </is>
      </c>
      <c r="B54" s="136" t="inlineStr">
        <is>
          <t>Lote 49</t>
        </is>
      </c>
      <c r="C54" s="135" t="inlineStr">
        <is>
          <t>M6</t>
        </is>
      </c>
      <c r="D54" s="136" t="inlineStr">
        <is>
          <t>Lote Estándar</t>
        </is>
      </c>
      <c r="E54" s="137">
        <f>'Inventario Detallado'!E50</f>
        <v/>
      </c>
      <c r="F54" s="135" t="inlineStr">
        <is>
          <t>12.57m x 13.21m</t>
        </is>
      </c>
      <c r="G54" s="138">
        <f>'Inventario Detallado'!G50</f>
        <v/>
      </c>
      <c r="H54" s="139" t="n">
        <v>85</v>
      </c>
      <c r="I54" s="139" t="n">
        <v>53</v>
      </c>
      <c r="J54" s="135" t="inlineStr">
        <is>
          <t>Disponible</t>
        </is>
      </c>
    </row>
    <row r="55">
      <c r="A55" s="135" t="inlineStr">
        <is>
          <t>L050</t>
        </is>
      </c>
      <c r="B55" s="136" t="inlineStr">
        <is>
          <t>Lote 50</t>
        </is>
      </c>
      <c r="C55" s="135" t="inlineStr">
        <is>
          <t>M6</t>
        </is>
      </c>
      <c r="D55" s="136" t="inlineStr">
        <is>
          <t>Lote Estándar</t>
        </is>
      </c>
      <c r="E55" s="137">
        <f>'Inventario Detallado'!E51</f>
        <v/>
      </c>
      <c r="F55" s="135" t="inlineStr">
        <is>
          <t>12.57m x 13.26m</t>
        </is>
      </c>
      <c r="G55" s="138">
        <f>'Inventario Detallado'!G51</f>
        <v/>
      </c>
      <c r="H55" s="139" t="n">
        <v>86</v>
      </c>
      <c r="I55" s="139" t="n">
        <v>40</v>
      </c>
      <c r="J55" s="135" t="inlineStr">
        <is>
          <t>Disponible</t>
        </is>
      </c>
    </row>
    <row r="56">
      <c r="A56" s="135" t="inlineStr">
        <is>
          <t>L051</t>
        </is>
      </c>
      <c r="B56" s="136" t="inlineStr">
        <is>
          <t>Lote 51</t>
        </is>
      </c>
      <c r="C56" s="135" t="inlineStr">
        <is>
          <t>M6</t>
        </is>
      </c>
      <c r="D56" s="136" t="inlineStr">
        <is>
          <t>Lote Estándar</t>
        </is>
      </c>
      <c r="E56" s="137">
        <f>'Inventario Detallado'!E52</f>
        <v/>
      </c>
      <c r="F56" s="135" t="inlineStr">
        <is>
          <t>12.57m x 13.34m</t>
        </is>
      </c>
      <c r="G56" s="138">
        <f>'Inventario Detallado'!G52</f>
        <v/>
      </c>
      <c r="H56" s="139" t="n">
        <v>87</v>
      </c>
      <c r="I56" s="139" t="n">
        <v>28</v>
      </c>
      <c r="J56" s="135" t="inlineStr">
        <is>
          <t>Disponible</t>
        </is>
      </c>
    </row>
    <row r="57">
      <c r="A57" s="135" t="inlineStr">
        <is>
          <t>L052</t>
        </is>
      </c>
      <c r="B57" s="136" t="inlineStr">
        <is>
          <t>Lote 52</t>
        </is>
      </c>
      <c r="C57" s="135" t="inlineStr">
        <is>
          <t>M6</t>
        </is>
      </c>
      <c r="D57" s="136" t="inlineStr">
        <is>
          <t>Lote Estándar</t>
        </is>
      </c>
      <c r="E57" s="137">
        <f>'Inventario Detallado'!E53</f>
        <v/>
      </c>
      <c r="F57" s="135" t="inlineStr">
        <is>
          <t>12.57m x 13.45m</t>
        </is>
      </c>
      <c r="G57" s="138">
        <f>'Inventario Detallado'!G53</f>
        <v/>
      </c>
      <c r="H57" s="139" t="n">
        <v>88</v>
      </c>
      <c r="I57" s="139" t="n">
        <v>15</v>
      </c>
      <c r="J57" s="135" t="inlineStr">
        <is>
          <t>Disponible</t>
        </is>
      </c>
    </row>
    <row r="58">
      <c r="A58" s="135" t="inlineStr">
        <is>
          <t>L053</t>
        </is>
      </c>
      <c r="B58" s="136" t="inlineStr">
        <is>
          <t>Lote 53</t>
        </is>
      </c>
      <c r="C58" s="135" t="inlineStr">
        <is>
          <t>M7</t>
        </is>
      </c>
      <c r="D58" s="136" t="inlineStr">
        <is>
          <t>Lote Tiny House</t>
        </is>
      </c>
      <c r="E58" s="137">
        <f>'Inventario Detallado'!E54</f>
        <v/>
      </c>
      <c r="F58" s="135" t="inlineStr">
        <is>
          <t>12.16m x 9.38m</t>
        </is>
      </c>
      <c r="G58" s="138">
        <f>'Inventario Detallado'!G54</f>
        <v/>
      </c>
      <c r="H58" s="139" t="n">
        <v>64</v>
      </c>
      <c r="I58" s="139" t="n">
        <v>25</v>
      </c>
      <c r="J58" s="135" t="inlineStr">
        <is>
          <t>Disponible</t>
        </is>
      </c>
    </row>
    <row r="59">
      <c r="A59" s="135" t="inlineStr">
        <is>
          <t>L054</t>
        </is>
      </c>
      <c r="B59" s="136" t="inlineStr">
        <is>
          <t>Lote 54</t>
        </is>
      </c>
      <c r="C59" s="135" t="inlineStr">
        <is>
          <t>M7</t>
        </is>
      </c>
      <c r="D59" s="136" t="inlineStr">
        <is>
          <t>Lote Tiny House</t>
        </is>
      </c>
      <c r="E59" s="137">
        <f>'Inventario Detallado'!E55</f>
        <v/>
      </c>
      <c r="F59" s="135" t="inlineStr">
        <is>
          <t>12.16m x 9.34m</t>
        </is>
      </c>
      <c r="G59" s="138">
        <f>'Inventario Detallado'!G55</f>
        <v/>
      </c>
      <c r="H59" s="139" t="n">
        <v>64</v>
      </c>
      <c r="I59" s="139" t="n">
        <v>32</v>
      </c>
      <c r="J59" s="135" t="inlineStr">
        <is>
          <t>Disponible</t>
        </is>
      </c>
    </row>
    <row r="60">
      <c r="A60" s="135" t="inlineStr">
        <is>
          <t>L056</t>
        </is>
      </c>
      <c r="B60" s="136" t="inlineStr">
        <is>
          <t>Lote 56</t>
        </is>
      </c>
      <c r="C60" s="135" t="inlineStr">
        <is>
          <t>M7</t>
        </is>
      </c>
      <c r="D60" s="136" t="inlineStr">
        <is>
          <t>Lote Tiny House</t>
        </is>
      </c>
      <c r="E60" s="137">
        <f>'Inventario Detallado'!E57</f>
        <v/>
      </c>
      <c r="F60" s="135" t="inlineStr">
        <is>
          <t>12.19m x 9.33m</t>
        </is>
      </c>
      <c r="G60" s="138">
        <f>'Inventario Detallado'!G57</f>
        <v/>
      </c>
      <c r="H60" s="139" t="n">
        <v>64</v>
      </c>
      <c r="I60" s="139" t="n">
        <v>53</v>
      </c>
      <c r="J60" s="135" t="inlineStr">
        <is>
          <t>Disponible</t>
        </is>
      </c>
    </row>
    <row r="61">
      <c r="A61" s="135" t="inlineStr">
        <is>
          <t>L057</t>
        </is>
      </c>
      <c r="B61" s="136" t="inlineStr">
        <is>
          <t>Lote 57</t>
        </is>
      </c>
      <c r="C61" s="135" t="inlineStr">
        <is>
          <t>M7</t>
        </is>
      </c>
      <c r="D61" s="136" t="inlineStr">
        <is>
          <t>Lote Tiny House</t>
        </is>
      </c>
      <c r="E61" s="137">
        <f>'Inventario Detallado'!E58</f>
        <v/>
      </c>
      <c r="F61" s="135" t="inlineStr">
        <is>
          <t>12.19m x 9.37m</t>
        </is>
      </c>
      <c r="G61" s="138">
        <f>'Inventario Detallado'!G58</f>
        <v/>
      </c>
      <c r="H61" s="139" t="n">
        <v>65</v>
      </c>
      <c r="I61" s="139" t="n">
        <v>64</v>
      </c>
      <c r="J61" s="135" t="inlineStr">
        <is>
          <t>Disponible</t>
        </is>
      </c>
    </row>
    <row r="62">
      <c r="A62" s="135" t="inlineStr">
        <is>
          <t>L058</t>
        </is>
      </c>
      <c r="B62" s="136" t="inlineStr">
        <is>
          <t>Lote 58</t>
        </is>
      </c>
      <c r="C62" s="135" t="inlineStr">
        <is>
          <t>M7</t>
        </is>
      </c>
      <c r="D62" s="136" t="inlineStr">
        <is>
          <t>Lote Tiny House</t>
        </is>
      </c>
      <c r="E62" s="137">
        <f>'Inventario Detallado'!E59</f>
        <v/>
      </c>
      <c r="F62" s="135" t="inlineStr">
        <is>
          <t>12.19m x 9.43m</t>
        </is>
      </c>
      <c r="G62" s="138">
        <f>'Inventario Detallado'!G59</f>
        <v/>
      </c>
      <c r="H62" s="139" t="n">
        <v>65</v>
      </c>
      <c r="I62" s="139" t="n">
        <v>76</v>
      </c>
      <c r="J62" s="135" t="inlineStr">
        <is>
          <t>Disponible</t>
        </is>
      </c>
    </row>
    <row r="63">
      <c r="A63" s="135" t="inlineStr">
        <is>
          <t>L059</t>
        </is>
      </c>
      <c r="B63" s="136" t="inlineStr">
        <is>
          <t>Lote 59</t>
        </is>
      </c>
      <c r="C63" s="135" t="inlineStr">
        <is>
          <t>M7</t>
        </is>
      </c>
      <c r="D63" s="136" t="inlineStr">
        <is>
          <t>Lote Tiny House</t>
        </is>
      </c>
      <c r="E63" s="137">
        <f>'Inventario Detallado'!E60</f>
        <v/>
      </c>
      <c r="F63" s="135" t="inlineStr">
        <is>
          <t>12.19m x 9.51m</t>
        </is>
      </c>
      <c r="G63" s="138">
        <f>'Inventario Detallado'!G60</f>
        <v/>
      </c>
      <c r="H63" s="139" t="n">
        <v>66</v>
      </c>
      <c r="I63" s="139" t="n">
        <v>88</v>
      </c>
      <c r="J63" s="135" t="inlineStr">
        <is>
          <t>Disponible</t>
        </is>
      </c>
    </row>
    <row r="64">
      <c r="A64" s="135" t="inlineStr">
        <is>
          <t>L060</t>
        </is>
      </c>
      <c r="B64" s="136" t="inlineStr">
        <is>
          <t>Lote 60</t>
        </is>
      </c>
      <c r="C64" s="135" t="inlineStr">
        <is>
          <t>M7</t>
        </is>
      </c>
      <c r="D64" s="136" t="inlineStr">
        <is>
          <t>Lote Tiny House</t>
        </is>
      </c>
      <c r="E64" s="137">
        <f>'Inventario Detallado'!E61</f>
        <v/>
      </c>
      <c r="F64" s="135" t="inlineStr">
        <is>
          <t>12.17m x 9.38m</t>
        </is>
      </c>
      <c r="G64" s="138">
        <f>'Inventario Detallado'!G61</f>
        <v/>
      </c>
      <c r="H64" s="139" t="n">
        <v>55</v>
      </c>
      <c r="I64" s="139" t="n">
        <v>25</v>
      </c>
      <c r="J64" s="135" t="inlineStr">
        <is>
          <t>En Oferta</t>
        </is>
      </c>
    </row>
    <row r="65">
      <c r="A65" s="135" t="inlineStr">
        <is>
          <t>L062</t>
        </is>
      </c>
      <c r="B65" s="136" t="inlineStr">
        <is>
          <t>Lote 62</t>
        </is>
      </c>
      <c r="C65" s="135" t="inlineStr">
        <is>
          <t>M7</t>
        </is>
      </c>
      <c r="D65" s="136" t="inlineStr">
        <is>
          <t>Lote Tiny House</t>
        </is>
      </c>
      <c r="E65" s="137">
        <f>'Inventario Detallado'!E63</f>
        <v/>
      </c>
      <c r="F65" s="135" t="inlineStr">
        <is>
          <t>12.17m x 9.32m</t>
        </is>
      </c>
      <c r="G65" s="138">
        <f>'Inventario Detallado'!G63</f>
        <v/>
      </c>
      <c r="H65" s="139" t="n">
        <v>54</v>
      </c>
      <c r="I65" s="139" t="n">
        <v>46</v>
      </c>
      <c r="J65" s="135" t="inlineStr">
        <is>
          <t>En Oferta</t>
        </is>
      </c>
    </row>
    <row r="66">
      <c r="A66" s="135" t="inlineStr">
        <is>
          <t>L063</t>
        </is>
      </c>
      <c r="B66" s="136" t="inlineStr">
        <is>
          <t>Lote 63</t>
        </is>
      </c>
      <c r="C66" s="135" t="inlineStr">
        <is>
          <t>M7</t>
        </is>
      </c>
      <c r="D66" s="136" t="inlineStr">
        <is>
          <t>Lote Tiny House</t>
        </is>
      </c>
      <c r="E66" s="137">
        <f>'Inventario Detallado'!E64</f>
        <v/>
      </c>
      <c r="F66" s="135" t="inlineStr">
        <is>
          <t>12.19m x 9.33m</t>
        </is>
      </c>
      <c r="G66" s="138">
        <f>'Inventario Detallado'!G64</f>
        <v/>
      </c>
      <c r="H66" s="139" t="n">
        <v>55</v>
      </c>
      <c r="I66" s="139" t="n">
        <v>56</v>
      </c>
      <c r="J66" s="135" t="inlineStr">
        <is>
          <t>Disponible</t>
        </is>
      </c>
    </row>
    <row r="67">
      <c r="A67" s="135" t="inlineStr">
        <is>
          <t>L064</t>
        </is>
      </c>
      <c r="B67" s="136" t="inlineStr">
        <is>
          <t>Lote 64</t>
        </is>
      </c>
      <c r="C67" s="135" t="inlineStr">
        <is>
          <t>M7</t>
        </is>
      </c>
      <c r="D67" s="136" t="inlineStr">
        <is>
          <t>Lote Tiny House</t>
        </is>
      </c>
      <c r="E67" s="137">
        <f>'Inventario Detallado'!E65</f>
        <v/>
      </c>
      <c r="F67" s="135" t="inlineStr">
        <is>
          <t>12.19m x 9.37m</t>
        </is>
      </c>
      <c r="G67" s="138">
        <f>'Inventario Detallado'!G65</f>
        <v/>
      </c>
      <c r="H67" s="139" t="n">
        <v>55</v>
      </c>
      <c r="I67" s="139" t="n">
        <v>67</v>
      </c>
      <c r="J67" s="135" t="inlineStr">
        <is>
          <t>En Oferta</t>
        </is>
      </c>
    </row>
    <row r="68">
      <c r="A68" s="135" t="inlineStr">
        <is>
          <t>L065</t>
        </is>
      </c>
      <c r="B68" s="136" t="inlineStr">
        <is>
          <t>Lote 65</t>
        </is>
      </c>
      <c r="C68" s="135" t="inlineStr">
        <is>
          <t>M7</t>
        </is>
      </c>
      <c r="D68" s="136" t="inlineStr">
        <is>
          <t>Lote Tiny House</t>
        </is>
      </c>
      <c r="E68" s="137">
        <f>'Inventario Detallado'!E66</f>
        <v/>
      </c>
      <c r="F68" s="135" t="inlineStr">
        <is>
          <t>12.19m x 9.43m</t>
        </is>
      </c>
      <c r="G68" s="138">
        <f>'Inventario Detallado'!G66</f>
        <v/>
      </c>
      <c r="H68" s="139" t="n">
        <v>56</v>
      </c>
      <c r="I68" s="139" t="n">
        <v>78</v>
      </c>
      <c r="J68" s="135" t="inlineStr">
        <is>
          <t>En Oferta</t>
        </is>
      </c>
    </row>
    <row r="69">
      <c r="A69" s="135" t="inlineStr">
        <is>
          <t>L066</t>
        </is>
      </c>
      <c r="B69" s="136" t="inlineStr">
        <is>
          <t>Lote 66</t>
        </is>
      </c>
      <c r="C69" s="135" t="inlineStr">
        <is>
          <t>M7</t>
        </is>
      </c>
      <c r="D69" s="136" t="inlineStr">
        <is>
          <t>Lote Tiny House</t>
        </is>
      </c>
      <c r="E69" s="137">
        <f>'Inventario Detallado'!E67</f>
        <v/>
      </c>
      <c r="F69" s="135" t="inlineStr">
        <is>
          <t>12.19m x 9.51m</t>
        </is>
      </c>
      <c r="G69" s="138">
        <f>'Inventario Detallado'!G67</f>
        <v/>
      </c>
      <c r="H69" s="139" t="n">
        <v>57</v>
      </c>
      <c r="I69" s="139" t="n">
        <v>90</v>
      </c>
      <c r="J69" s="135" t="inlineStr">
        <is>
          <t>Disponible</t>
        </is>
      </c>
    </row>
    <row r="70">
      <c r="A70" s="135" t="inlineStr">
        <is>
          <t>L067</t>
        </is>
      </c>
      <c r="B70" s="136" t="inlineStr">
        <is>
          <t>Lote 67</t>
        </is>
      </c>
      <c r="C70" s="135" t="inlineStr">
        <is>
          <t>M8</t>
        </is>
      </c>
      <c r="D70" s="136" t="inlineStr">
        <is>
          <t>Lote Tiny House</t>
        </is>
      </c>
      <c r="E70" s="137">
        <f>'Inventario Detallado'!E68</f>
        <v/>
      </c>
      <c r="F70" s="135" t="inlineStr">
        <is>
          <t>12.07m x 9.63m</t>
        </is>
      </c>
      <c r="G70" s="138">
        <f>'Inventario Detallado'!G68</f>
        <v/>
      </c>
      <c r="H70" s="139" t="n">
        <v>68</v>
      </c>
      <c r="I70" s="139" t="n">
        <v>105</v>
      </c>
      <c r="J70" s="135" t="inlineStr">
        <is>
          <t>Disponible</t>
        </is>
      </c>
    </row>
    <row r="71">
      <c r="A71" s="135" t="inlineStr">
        <is>
          <t>L068</t>
        </is>
      </c>
      <c r="B71" s="136" t="inlineStr">
        <is>
          <t>Lote 68</t>
        </is>
      </c>
      <c r="C71" s="135" t="inlineStr">
        <is>
          <t>M8</t>
        </is>
      </c>
      <c r="D71" s="136" t="inlineStr">
        <is>
          <t>Lote Tiny House</t>
        </is>
      </c>
      <c r="E71" s="137">
        <f>'Inventario Detallado'!E69</f>
        <v/>
      </c>
      <c r="F71" s="135" t="inlineStr">
        <is>
          <t>12.08m x 9.67m</t>
        </is>
      </c>
      <c r="G71" s="138">
        <f>'Inventario Detallado'!G69</f>
        <v/>
      </c>
      <c r="H71" s="139" t="n">
        <v>68</v>
      </c>
      <c r="I71" s="139" t="n">
        <v>117</v>
      </c>
      <c r="J71" s="135" t="inlineStr">
        <is>
          <t>Disponible</t>
        </is>
      </c>
    </row>
    <row r="72">
      <c r="A72" s="135" t="inlineStr">
        <is>
          <t>L069</t>
        </is>
      </c>
      <c r="B72" s="136" t="inlineStr">
        <is>
          <t>Lote 69</t>
        </is>
      </c>
      <c r="C72" s="135" t="inlineStr">
        <is>
          <t>M8</t>
        </is>
      </c>
      <c r="D72" s="136" t="inlineStr">
        <is>
          <t>Lote Tiny House</t>
        </is>
      </c>
      <c r="E72" s="137">
        <f>'Inventario Detallado'!E70</f>
        <v/>
      </c>
      <c r="F72" s="135" t="inlineStr">
        <is>
          <t>12.08m x 9.68m</t>
        </is>
      </c>
      <c r="G72" s="138">
        <f>'Inventario Detallado'!G70</f>
        <v/>
      </c>
      <c r="H72" s="139" t="n">
        <v>68</v>
      </c>
      <c r="I72" s="139" t="n">
        <v>129</v>
      </c>
      <c r="J72" s="135" t="inlineStr">
        <is>
          <t>Disponible</t>
        </is>
      </c>
    </row>
    <row r="73">
      <c r="A73" s="135" t="inlineStr">
        <is>
          <t>L070</t>
        </is>
      </c>
      <c r="B73" s="136" t="inlineStr">
        <is>
          <t>Lote 70</t>
        </is>
      </c>
      <c r="C73" s="135" t="inlineStr">
        <is>
          <t>M8</t>
        </is>
      </c>
      <c r="D73" s="136" t="inlineStr">
        <is>
          <t>Lote Tiny House</t>
        </is>
      </c>
      <c r="E73" s="137">
        <f>'Inventario Detallado'!E71</f>
        <v/>
      </c>
      <c r="F73" s="135" t="inlineStr">
        <is>
          <t>12.08m x 9.70m</t>
        </is>
      </c>
      <c r="G73" s="138">
        <f>'Inventario Detallado'!G71</f>
        <v/>
      </c>
      <c r="H73" s="139" t="n">
        <v>68</v>
      </c>
      <c r="I73" s="139" t="n">
        <v>141</v>
      </c>
      <c r="J73" s="135" t="inlineStr">
        <is>
          <t>Disponible</t>
        </is>
      </c>
    </row>
    <row r="74">
      <c r="A74" s="135" t="inlineStr">
        <is>
          <t>L071</t>
        </is>
      </c>
      <c r="B74" s="136" t="inlineStr">
        <is>
          <t>Lote 71</t>
        </is>
      </c>
      <c r="C74" s="135" t="inlineStr">
        <is>
          <t>M8</t>
        </is>
      </c>
      <c r="D74" s="136" t="inlineStr">
        <is>
          <t>Lote Tiny House</t>
        </is>
      </c>
      <c r="E74" s="137">
        <f>'Inventario Detallado'!E72</f>
        <v/>
      </c>
      <c r="F74" s="135" t="inlineStr">
        <is>
          <t>12.08m x 9.71m</t>
        </is>
      </c>
      <c r="G74" s="138">
        <f>'Inventario Detallado'!G72</f>
        <v/>
      </c>
      <c r="H74" s="139" t="n">
        <v>68</v>
      </c>
      <c r="I74" s="139" t="n">
        <v>145</v>
      </c>
      <c r="J74" s="135" t="inlineStr">
        <is>
          <t>Disponible</t>
        </is>
      </c>
    </row>
    <row r="75">
      <c r="A75" s="135" t="inlineStr">
        <is>
          <t>L072</t>
        </is>
      </c>
      <c r="B75" s="136" t="inlineStr">
        <is>
          <t>Lote 72</t>
        </is>
      </c>
      <c r="C75" s="135" t="inlineStr">
        <is>
          <t>M8</t>
        </is>
      </c>
      <c r="D75" s="136" t="inlineStr">
        <is>
          <t>Lote Tiny House</t>
        </is>
      </c>
      <c r="E75" s="137">
        <f>'Inventario Detallado'!E73</f>
        <v/>
      </c>
      <c r="F75" s="135" t="inlineStr">
        <is>
          <t>12.08m x 9.72m</t>
        </is>
      </c>
      <c r="G75" s="138">
        <f>'Inventario Detallado'!G73</f>
        <v/>
      </c>
      <c r="H75" s="139" t="n">
        <v>68</v>
      </c>
      <c r="I75" s="139" t="n">
        <v>145</v>
      </c>
      <c r="J75" s="135" t="inlineStr">
        <is>
          <t>En Oferta</t>
        </is>
      </c>
    </row>
    <row r="76">
      <c r="A76" s="135" t="inlineStr">
        <is>
          <t>L073</t>
        </is>
      </c>
      <c r="B76" s="136" t="inlineStr">
        <is>
          <t>Lote 73</t>
        </is>
      </c>
      <c r="C76" s="135" t="inlineStr">
        <is>
          <t>M8</t>
        </is>
      </c>
      <c r="D76" s="136" t="inlineStr">
        <is>
          <t>Lote Tiny House</t>
        </is>
      </c>
      <c r="E76" s="137">
        <f>'Inventario Detallado'!E74</f>
        <v/>
      </c>
      <c r="F76" s="135" t="inlineStr">
        <is>
          <t>12.08m x 9.74m</t>
        </is>
      </c>
      <c r="G76" s="138">
        <f>'Inventario Detallado'!G74</f>
        <v/>
      </c>
      <c r="H76" s="139" t="n">
        <v>68</v>
      </c>
      <c r="I76" s="139" t="n">
        <v>145</v>
      </c>
      <c r="J76" s="135" t="inlineStr">
        <is>
          <t>Disponible</t>
        </is>
      </c>
    </row>
    <row r="77">
      <c r="A77" s="135" t="inlineStr">
        <is>
          <t>L074</t>
        </is>
      </c>
      <c r="B77" s="136" t="inlineStr">
        <is>
          <t>Lote 74</t>
        </is>
      </c>
      <c r="C77" s="135" t="inlineStr">
        <is>
          <t>M8</t>
        </is>
      </c>
      <c r="D77" s="136" t="inlineStr">
        <is>
          <t>Lote Tiny House</t>
        </is>
      </c>
      <c r="E77" s="137">
        <f>'Inventario Detallado'!E75</f>
        <v/>
      </c>
      <c r="F77" s="135" t="inlineStr">
        <is>
          <t>12.08m x 9.75m</t>
        </is>
      </c>
      <c r="G77" s="138">
        <f>'Inventario Detallado'!G75</f>
        <v/>
      </c>
      <c r="H77" s="139" t="n">
        <v>68</v>
      </c>
      <c r="I77" s="139" t="n">
        <v>145</v>
      </c>
      <c r="J77" s="135" t="inlineStr">
        <is>
          <t>Disponible</t>
        </is>
      </c>
    </row>
    <row r="78">
      <c r="A78" s="135" t="inlineStr">
        <is>
          <t>L075</t>
        </is>
      </c>
      <c r="B78" s="136" t="inlineStr">
        <is>
          <t>Lote 75</t>
        </is>
      </c>
      <c r="C78" s="135" t="inlineStr">
        <is>
          <t>M8</t>
        </is>
      </c>
      <c r="D78" s="136" t="inlineStr">
        <is>
          <t>Lote Tiny House</t>
        </is>
      </c>
      <c r="E78" s="137">
        <f>'Inventario Detallado'!E76</f>
        <v/>
      </c>
      <c r="F78" s="135" t="inlineStr">
        <is>
          <t>12.08m x 9.76m</t>
        </is>
      </c>
      <c r="G78" s="138">
        <f>'Inventario Detallado'!G76</f>
        <v/>
      </c>
      <c r="H78" s="139" t="n">
        <v>68</v>
      </c>
      <c r="I78" s="139" t="n">
        <v>145</v>
      </c>
      <c r="J78" s="135" t="inlineStr">
        <is>
          <t>Disponible</t>
        </is>
      </c>
    </row>
    <row r="79">
      <c r="A79" s="135" t="inlineStr">
        <is>
          <t>L076</t>
        </is>
      </c>
      <c r="B79" s="136" t="inlineStr">
        <is>
          <t>Lote 76</t>
        </is>
      </c>
      <c r="C79" s="135" t="inlineStr">
        <is>
          <t>M8</t>
        </is>
      </c>
      <c r="D79" s="136" t="inlineStr">
        <is>
          <t>Lote Tiny House</t>
        </is>
      </c>
      <c r="E79" s="137">
        <f>'Inventario Detallado'!E77</f>
        <v/>
      </c>
      <c r="F79" s="135" t="inlineStr">
        <is>
          <t>12.08m x 9.77m</t>
        </is>
      </c>
      <c r="G79" s="138">
        <f>'Inventario Detallado'!G77</f>
        <v/>
      </c>
      <c r="H79" s="139" t="n">
        <v>68</v>
      </c>
      <c r="I79" s="139" t="n">
        <v>133</v>
      </c>
      <c r="J79" s="135" t="inlineStr">
        <is>
          <t>Disponible</t>
        </is>
      </c>
    </row>
    <row r="80">
      <c r="A80" s="135" t="inlineStr">
        <is>
          <t>L077</t>
        </is>
      </c>
      <c r="B80" s="136" t="inlineStr">
        <is>
          <t>Lote 77</t>
        </is>
      </c>
      <c r="C80" s="135" t="inlineStr">
        <is>
          <t>M8</t>
        </is>
      </c>
      <c r="D80" s="136" t="inlineStr">
        <is>
          <t>Lote Tiny House</t>
        </is>
      </c>
      <c r="E80" s="137">
        <f>'Inventario Detallado'!E78</f>
        <v/>
      </c>
      <c r="F80" s="135" t="inlineStr">
        <is>
          <t>12.07m x 9.63m</t>
        </is>
      </c>
      <c r="G80" s="138">
        <f>'Inventario Detallado'!G78</f>
        <v/>
      </c>
      <c r="H80" s="139" t="n">
        <v>58</v>
      </c>
      <c r="I80" s="139" t="n">
        <v>106</v>
      </c>
      <c r="J80" s="135" t="inlineStr">
        <is>
          <t>En Oferta</t>
        </is>
      </c>
    </row>
    <row r="81">
      <c r="A81" s="135" t="inlineStr">
        <is>
          <t>L078</t>
        </is>
      </c>
      <c r="B81" s="136" t="inlineStr">
        <is>
          <t>Lote 78</t>
        </is>
      </c>
      <c r="C81" s="135" t="inlineStr">
        <is>
          <t>M8</t>
        </is>
      </c>
      <c r="D81" s="136" t="inlineStr">
        <is>
          <t>Lote Tiny House</t>
        </is>
      </c>
      <c r="E81" s="137">
        <f>'Inventario Detallado'!E79</f>
        <v/>
      </c>
      <c r="F81" s="135" t="inlineStr">
        <is>
          <t>12.08m x 9.67m</t>
        </is>
      </c>
      <c r="G81" s="138">
        <f>'Inventario Detallado'!G79</f>
        <v/>
      </c>
      <c r="H81" s="139" t="n">
        <v>58</v>
      </c>
      <c r="I81" s="139" t="n">
        <v>118</v>
      </c>
      <c r="J81" s="135" t="inlineStr">
        <is>
          <t>Disponible</t>
        </is>
      </c>
    </row>
    <row r="82">
      <c r="A82" s="135" t="inlineStr">
        <is>
          <t>L079</t>
        </is>
      </c>
      <c r="B82" s="136" t="inlineStr">
        <is>
          <t>Lote 79</t>
        </is>
      </c>
      <c r="C82" s="135" t="inlineStr">
        <is>
          <t>M8</t>
        </is>
      </c>
      <c r="D82" s="136" t="inlineStr">
        <is>
          <t>Lote Tiny House</t>
        </is>
      </c>
      <c r="E82" s="137">
        <f>'Inventario Detallado'!E80</f>
        <v/>
      </c>
      <c r="F82" s="135" t="inlineStr">
        <is>
          <t>12.08m x 9.68m</t>
        </is>
      </c>
      <c r="G82" s="138">
        <f>'Inventario Detallado'!G80</f>
        <v/>
      </c>
      <c r="H82" s="139" t="n">
        <v>58</v>
      </c>
      <c r="I82" s="139" t="n">
        <v>129</v>
      </c>
      <c r="J82" s="135" t="inlineStr">
        <is>
          <t>Disponible</t>
        </is>
      </c>
    </row>
    <row r="83">
      <c r="A83" s="135" t="inlineStr">
        <is>
          <t>L080</t>
        </is>
      </c>
      <c r="B83" s="136" t="inlineStr">
        <is>
          <t>Lote 80</t>
        </is>
      </c>
      <c r="C83" s="135" t="inlineStr">
        <is>
          <t>M8</t>
        </is>
      </c>
      <c r="D83" s="136" t="inlineStr">
        <is>
          <t>Lote Tiny House</t>
        </is>
      </c>
      <c r="E83" s="137">
        <f>'Inventario Detallado'!E81</f>
        <v/>
      </c>
      <c r="F83" s="135" t="inlineStr">
        <is>
          <t>12.08m x 9.70m</t>
        </is>
      </c>
      <c r="G83" s="138">
        <f>'Inventario Detallado'!G81</f>
        <v/>
      </c>
      <c r="H83" s="139" t="n">
        <v>58</v>
      </c>
      <c r="I83" s="139" t="n">
        <v>141</v>
      </c>
      <c r="J83" s="135" t="inlineStr">
        <is>
          <t>En Oferta</t>
        </is>
      </c>
    </row>
    <row r="84">
      <c r="A84" s="135" t="inlineStr">
        <is>
          <t>L082</t>
        </is>
      </c>
      <c r="B84" s="136" t="inlineStr">
        <is>
          <t>Lote 82</t>
        </is>
      </c>
      <c r="C84" s="135" t="inlineStr">
        <is>
          <t>M8</t>
        </is>
      </c>
      <c r="D84" s="136" t="inlineStr">
        <is>
          <t>Lote Tiny House</t>
        </is>
      </c>
      <c r="E84" s="137">
        <f>'Inventario Detallado'!E83</f>
        <v/>
      </c>
      <c r="F84" s="135" t="inlineStr">
        <is>
          <t>12.08m x 9.72m</t>
        </is>
      </c>
      <c r="G84" s="138">
        <f>'Inventario Detallado'!G83</f>
        <v/>
      </c>
      <c r="H84" s="139" t="n">
        <v>58</v>
      </c>
      <c r="I84" s="139" t="n">
        <v>145</v>
      </c>
      <c r="J84" s="135" t="inlineStr">
        <is>
          <t>En Oferta</t>
        </is>
      </c>
    </row>
    <row r="85">
      <c r="A85" s="135" t="inlineStr">
        <is>
          <t>L083</t>
        </is>
      </c>
      <c r="B85" s="136" t="inlineStr">
        <is>
          <t>Lote 83</t>
        </is>
      </c>
      <c r="C85" s="135" t="inlineStr">
        <is>
          <t>M8</t>
        </is>
      </c>
      <c r="D85" s="136" t="inlineStr">
        <is>
          <t>Lote Tiny House</t>
        </is>
      </c>
      <c r="E85" s="137">
        <f>'Inventario Detallado'!E84</f>
        <v/>
      </c>
      <c r="F85" s="135" t="inlineStr">
        <is>
          <t>12.08m x 9.74m</t>
        </is>
      </c>
      <c r="G85" s="138">
        <f>'Inventario Detallado'!G84</f>
        <v/>
      </c>
      <c r="H85" s="139" t="n">
        <v>58</v>
      </c>
      <c r="I85" s="139" t="n">
        <v>145</v>
      </c>
      <c r="J85" s="135" t="inlineStr">
        <is>
          <t>Disponible</t>
        </is>
      </c>
    </row>
    <row r="86">
      <c r="A86" s="135" t="inlineStr">
        <is>
          <t>L084</t>
        </is>
      </c>
      <c r="B86" s="136" t="inlineStr">
        <is>
          <t>Lote 84</t>
        </is>
      </c>
      <c r="C86" s="135" t="inlineStr">
        <is>
          <t>M8</t>
        </is>
      </c>
      <c r="D86" s="136" t="inlineStr">
        <is>
          <t>Lote Tiny House</t>
        </is>
      </c>
      <c r="E86" s="137">
        <f>'Inventario Detallado'!E85</f>
        <v/>
      </c>
      <c r="F86" s="135" t="inlineStr">
        <is>
          <t>12.08m x 9.75m</t>
        </is>
      </c>
      <c r="G86" s="138">
        <f>'Inventario Detallado'!G85</f>
        <v/>
      </c>
      <c r="H86" s="139" t="n">
        <v>59</v>
      </c>
      <c r="I86" s="139" t="n">
        <v>145</v>
      </c>
      <c r="J86" s="135" t="inlineStr">
        <is>
          <t>Disponible</t>
        </is>
      </c>
    </row>
    <row r="87">
      <c r="A87" s="135" t="inlineStr">
        <is>
          <t>L085</t>
        </is>
      </c>
      <c r="B87" s="136" t="inlineStr">
        <is>
          <t>Lote 85</t>
        </is>
      </c>
      <c r="C87" s="135" t="inlineStr">
        <is>
          <t>M8</t>
        </is>
      </c>
      <c r="D87" s="136" t="inlineStr">
        <is>
          <t>Lote Tiny House</t>
        </is>
      </c>
      <c r="E87" s="137">
        <f>'Inventario Detallado'!E86</f>
        <v/>
      </c>
      <c r="F87" s="135" t="inlineStr">
        <is>
          <t>12.08m x 9.76m</t>
        </is>
      </c>
      <c r="G87" s="138">
        <f>'Inventario Detallado'!G86</f>
        <v/>
      </c>
      <c r="H87" s="139" t="n">
        <v>59</v>
      </c>
      <c r="I87" s="139" t="n">
        <v>145</v>
      </c>
      <c r="J87" s="135" t="inlineStr">
        <is>
          <t>Disponible</t>
        </is>
      </c>
    </row>
    <row r="88">
      <c r="A88" s="135" t="inlineStr">
        <is>
          <t>L086</t>
        </is>
      </c>
      <c r="B88" s="136" t="inlineStr">
        <is>
          <t>Lote 86</t>
        </is>
      </c>
      <c r="C88" s="135" t="inlineStr">
        <is>
          <t>M8</t>
        </is>
      </c>
      <c r="D88" s="136" t="inlineStr">
        <is>
          <t>Lote Tiny House</t>
        </is>
      </c>
      <c r="E88" s="137">
        <f>'Inventario Detallado'!E87</f>
        <v/>
      </c>
      <c r="F88" s="135" t="inlineStr">
        <is>
          <t>12.08m x 9.77m</t>
        </is>
      </c>
      <c r="G88" s="138">
        <f>'Inventario Detallado'!G87</f>
        <v/>
      </c>
      <c r="H88" s="139" t="n">
        <v>59</v>
      </c>
      <c r="I88" s="139" t="n">
        <v>133</v>
      </c>
      <c r="J88" s="135" t="inlineStr">
        <is>
          <t>Disponible</t>
        </is>
      </c>
    </row>
    <row r="89">
      <c r="A89" s="135" t="inlineStr">
        <is>
          <t>L087</t>
        </is>
      </c>
      <c r="B89" s="136" t="inlineStr">
        <is>
          <t>Lote 87</t>
        </is>
      </c>
      <c r="C89" s="135" t="inlineStr">
        <is>
          <t>M9</t>
        </is>
      </c>
      <c r="D89" s="136" t="inlineStr">
        <is>
          <t>Lote Tiny House</t>
        </is>
      </c>
      <c r="E89" s="137">
        <f>'Inventario Detallado'!E88</f>
        <v/>
      </c>
      <c r="F89" s="135" t="inlineStr">
        <is>
          <t>12.56m x 9.76m</t>
        </is>
      </c>
      <c r="G89" s="138">
        <f>'Inventario Detallado'!G88</f>
        <v/>
      </c>
      <c r="H89" s="139" t="n">
        <v>67</v>
      </c>
      <c r="I89" s="139" t="n">
        <v>116</v>
      </c>
      <c r="J89" s="135" t="inlineStr">
        <is>
          <t>Disponible</t>
        </is>
      </c>
    </row>
    <row r="90">
      <c r="A90" s="135" t="inlineStr">
        <is>
          <t>L088</t>
        </is>
      </c>
      <c r="B90" s="136" t="inlineStr">
        <is>
          <t>Lote 88</t>
        </is>
      </c>
      <c r="C90" s="135" t="inlineStr">
        <is>
          <t>M9</t>
        </is>
      </c>
      <c r="D90" s="136" t="inlineStr">
        <is>
          <t>Lote Tiny House</t>
        </is>
      </c>
      <c r="E90" s="137">
        <f>'Inventario Detallado'!E89</f>
        <v/>
      </c>
      <c r="F90" s="135" t="inlineStr">
        <is>
          <t>12.56m x 9.71m</t>
        </is>
      </c>
      <c r="G90" s="138">
        <f>'Inventario Detallado'!G89</f>
        <v/>
      </c>
      <c r="H90" s="139" t="n">
        <v>66</v>
      </c>
      <c r="I90" s="139" t="n">
        <v>103</v>
      </c>
      <c r="J90" s="135" t="inlineStr">
        <is>
          <t>Disponible</t>
        </is>
      </c>
    </row>
    <row r="91">
      <c r="A91" s="135" t="inlineStr">
        <is>
          <t>L089</t>
        </is>
      </c>
      <c r="B91" s="136" t="inlineStr">
        <is>
          <t>Lote 89</t>
        </is>
      </c>
      <c r="C91" s="135" t="inlineStr">
        <is>
          <t>M9</t>
        </is>
      </c>
      <c r="D91" s="136" t="inlineStr">
        <is>
          <t>Lote Tiny House</t>
        </is>
      </c>
      <c r="E91" s="137">
        <f>'Inventario Detallado'!E90</f>
        <v/>
      </c>
      <c r="F91" s="135" t="inlineStr">
        <is>
          <t>12.56m x 9.64m</t>
        </is>
      </c>
      <c r="G91" s="138">
        <f>'Inventario Detallado'!G90</f>
        <v/>
      </c>
      <c r="H91" s="139" t="n">
        <v>66</v>
      </c>
      <c r="I91" s="139" t="n">
        <v>91</v>
      </c>
      <c r="J91" s="135" t="inlineStr">
        <is>
          <t>Disponible</t>
        </is>
      </c>
    </row>
    <row r="92">
      <c r="A92" s="135" t="inlineStr">
        <is>
          <t>L090</t>
        </is>
      </c>
      <c r="B92" s="136" t="inlineStr">
        <is>
          <t>Lote 90</t>
        </is>
      </c>
      <c r="C92" s="135" t="inlineStr">
        <is>
          <t>M9</t>
        </is>
      </c>
      <c r="D92" s="136" t="inlineStr">
        <is>
          <t>Lote Tiny House</t>
        </is>
      </c>
      <c r="E92" s="137">
        <f>'Inventario Detallado'!E91</f>
        <v/>
      </c>
      <c r="F92" s="135" t="inlineStr">
        <is>
          <t>12.56m x 9.60m</t>
        </is>
      </c>
      <c r="G92" s="138">
        <f>'Inventario Detallado'!G91</f>
        <v/>
      </c>
      <c r="H92" s="139" t="n">
        <v>65</v>
      </c>
      <c r="I92" s="139" t="n">
        <v>78</v>
      </c>
      <c r="J92" s="135" t="inlineStr">
        <is>
          <t>Disponible</t>
        </is>
      </c>
    </row>
    <row r="93">
      <c r="A93" s="135" t="inlineStr">
        <is>
          <t>L091</t>
        </is>
      </c>
      <c r="B93" s="136" t="inlineStr">
        <is>
          <t>Lote 91</t>
        </is>
      </c>
      <c r="C93" s="135" t="inlineStr">
        <is>
          <t>M9</t>
        </is>
      </c>
      <c r="D93" s="136" t="inlineStr">
        <is>
          <t>Lote Tiny House</t>
        </is>
      </c>
      <c r="E93" s="137">
        <f>'Inventario Detallado'!E92</f>
        <v/>
      </c>
      <c r="F93" s="135" t="inlineStr">
        <is>
          <t>12.58m x 9.57m</t>
        </is>
      </c>
      <c r="G93" s="138">
        <f>'Inventario Detallado'!G92</f>
        <v/>
      </c>
      <c r="H93" s="139" t="n">
        <v>65</v>
      </c>
      <c r="I93" s="139" t="n">
        <v>65</v>
      </c>
      <c r="J93" s="135" t="inlineStr">
        <is>
          <t>Disponible</t>
        </is>
      </c>
    </row>
    <row r="94">
      <c r="A94" s="135" t="inlineStr">
        <is>
          <t>L092</t>
        </is>
      </c>
      <c r="B94" s="136" t="inlineStr">
        <is>
          <t>Lote 92</t>
        </is>
      </c>
      <c r="C94" s="135" t="inlineStr">
        <is>
          <t>M9</t>
        </is>
      </c>
      <c r="D94" s="136" t="inlineStr">
        <is>
          <t>Lote Tiny House</t>
        </is>
      </c>
      <c r="E94" s="137">
        <f>'Inventario Detallado'!E93</f>
        <v/>
      </c>
      <c r="F94" s="135" t="inlineStr">
        <is>
          <t>12.58m x 9.58m</t>
        </is>
      </c>
      <c r="G94" s="138">
        <f>'Inventario Detallado'!G93</f>
        <v/>
      </c>
      <c r="H94" s="139" t="n">
        <v>66</v>
      </c>
      <c r="I94" s="139" t="n">
        <v>53</v>
      </c>
      <c r="J94" s="135" t="inlineStr">
        <is>
          <t>Disponible</t>
        </is>
      </c>
    </row>
    <row r="95">
      <c r="A95" s="135" t="inlineStr">
        <is>
          <t>L093</t>
        </is>
      </c>
      <c r="B95" s="136" t="inlineStr">
        <is>
          <t>Lote 93</t>
        </is>
      </c>
      <c r="C95" s="135" t="inlineStr">
        <is>
          <t>M9</t>
        </is>
      </c>
      <c r="D95" s="136" t="inlineStr">
        <is>
          <t>Lote Tiny House</t>
        </is>
      </c>
      <c r="E95" s="137">
        <f>'Inventario Detallado'!E94</f>
        <v/>
      </c>
      <c r="F95" s="135" t="inlineStr">
        <is>
          <t>12.58m x 9.61m</t>
        </is>
      </c>
      <c r="G95" s="138">
        <f>'Inventario Detallado'!G94</f>
        <v/>
      </c>
      <c r="H95" s="139" t="n">
        <v>66</v>
      </c>
      <c r="I95" s="139" t="n">
        <v>40</v>
      </c>
      <c r="J95" s="135" t="inlineStr">
        <is>
          <t>Disponible</t>
        </is>
      </c>
    </row>
    <row r="96">
      <c r="A96" s="135" t="inlineStr">
        <is>
          <t>L094</t>
        </is>
      </c>
      <c r="B96" s="136" t="inlineStr">
        <is>
          <t>Lote 94</t>
        </is>
      </c>
      <c r="C96" s="135" t="inlineStr">
        <is>
          <t>M9</t>
        </is>
      </c>
      <c r="D96" s="136" t="inlineStr">
        <is>
          <t>Lote Tiny House</t>
        </is>
      </c>
      <c r="E96" s="137">
        <f>'Inventario Detallado'!E95</f>
        <v/>
      </c>
      <c r="F96" s="135" t="inlineStr">
        <is>
          <t>12.58m x 9.67m</t>
        </is>
      </c>
      <c r="G96" s="138">
        <f>'Inventario Detallado'!G95</f>
        <v/>
      </c>
      <c r="H96" s="139" t="n">
        <v>67</v>
      </c>
      <c r="I96" s="139" t="n">
        <v>28</v>
      </c>
      <c r="J96" s="135" t="inlineStr">
        <is>
          <t>Disponible</t>
        </is>
      </c>
    </row>
    <row r="97">
      <c r="A97" s="135" t="inlineStr">
        <is>
          <t>L095</t>
        </is>
      </c>
      <c r="B97" s="136" t="inlineStr">
        <is>
          <t>Lote 95</t>
        </is>
      </c>
      <c r="C97" s="135" t="inlineStr">
        <is>
          <t>M9</t>
        </is>
      </c>
      <c r="D97" s="136" t="inlineStr">
        <is>
          <t>Lote Tiny House</t>
        </is>
      </c>
      <c r="E97" s="137">
        <f>'Inventario Detallado'!E96</f>
        <v/>
      </c>
      <c r="F97" s="135" t="inlineStr">
        <is>
          <t>12.58m x 9.75m</t>
        </is>
      </c>
      <c r="G97" s="138">
        <f>'Inventario Detallado'!G96</f>
        <v/>
      </c>
      <c r="H97" s="139" t="n">
        <v>68</v>
      </c>
      <c r="I97" s="139" t="n">
        <v>15</v>
      </c>
      <c r="J97" s="135" t="inlineStr">
        <is>
          <t>Disponible</t>
        </is>
      </c>
    </row>
    <row r="98">
      <c r="A98" s="135" t="inlineStr">
        <is>
          <t>L096</t>
        </is>
      </c>
      <c r="B98" s="136" t="inlineStr">
        <is>
          <t>Lote 96</t>
        </is>
      </c>
      <c r="C98" s="135" t="inlineStr">
        <is>
          <t>M9</t>
        </is>
      </c>
      <c r="D98" s="136" t="inlineStr">
        <is>
          <t>Lote Tiny House</t>
        </is>
      </c>
      <c r="E98" s="137">
        <f>'Inventario Detallado'!E97</f>
        <v/>
      </c>
      <c r="F98" s="135" t="inlineStr">
        <is>
          <t>12.56m x 9.76m</t>
        </is>
      </c>
      <c r="G98" s="138">
        <f>'Inventario Detallado'!G97</f>
        <v/>
      </c>
      <c r="H98" s="139" t="n">
        <v>58</v>
      </c>
      <c r="I98" s="139" t="n">
        <v>116</v>
      </c>
      <c r="J98" s="135" t="inlineStr">
        <is>
          <t>Disponible</t>
        </is>
      </c>
    </row>
    <row r="99">
      <c r="A99" s="135" t="inlineStr">
        <is>
          <t>L097</t>
        </is>
      </c>
      <c r="B99" s="136" t="inlineStr">
        <is>
          <t>Lote 97</t>
        </is>
      </c>
      <c r="C99" s="135" t="inlineStr">
        <is>
          <t>M9</t>
        </is>
      </c>
      <c r="D99" s="136" t="inlineStr">
        <is>
          <t>Lote Tiny House</t>
        </is>
      </c>
      <c r="E99" s="137">
        <f>'Inventario Detallado'!E98</f>
        <v/>
      </c>
      <c r="F99" s="135" t="inlineStr">
        <is>
          <t>12.57m x 9.71m</t>
        </is>
      </c>
      <c r="G99" s="138">
        <f>'Inventario Detallado'!G98</f>
        <v/>
      </c>
      <c r="H99" s="139" t="n">
        <v>57</v>
      </c>
      <c r="I99" s="139" t="n">
        <v>103</v>
      </c>
      <c r="J99" s="135" t="inlineStr">
        <is>
          <t>Disponible</t>
        </is>
      </c>
    </row>
    <row r="100">
      <c r="A100" s="135" t="inlineStr">
        <is>
          <t>L098</t>
        </is>
      </c>
      <c r="B100" s="136" t="inlineStr">
        <is>
          <t>Lote 98</t>
        </is>
      </c>
      <c r="C100" s="135" t="inlineStr">
        <is>
          <t>M9</t>
        </is>
      </c>
      <c r="D100" s="136" t="inlineStr">
        <is>
          <t>Lote Tiny House</t>
        </is>
      </c>
      <c r="E100" s="137">
        <f>'Inventario Detallado'!E99</f>
        <v/>
      </c>
      <c r="F100" s="135" t="inlineStr">
        <is>
          <t>12.57m x 9.64m</t>
        </is>
      </c>
      <c r="G100" s="138">
        <f>'Inventario Detallado'!G99</f>
        <v/>
      </c>
      <c r="H100" s="139" t="n">
        <v>56</v>
      </c>
      <c r="I100" s="139" t="n">
        <v>91</v>
      </c>
      <c r="J100" s="135" t="inlineStr">
        <is>
          <t>Disponible</t>
        </is>
      </c>
    </row>
    <row r="101">
      <c r="A101" s="135" t="inlineStr">
        <is>
          <t>L100</t>
        </is>
      </c>
      <c r="B101" s="136" t="inlineStr">
        <is>
          <t>Lote 100</t>
        </is>
      </c>
      <c r="C101" s="135" t="inlineStr">
        <is>
          <t>M9</t>
        </is>
      </c>
      <c r="D101" s="136" t="inlineStr">
        <is>
          <t>Lote Tiny House</t>
        </is>
      </c>
      <c r="E101" s="137">
        <f>'Inventario Detallado'!E101</f>
        <v/>
      </c>
      <c r="F101" s="135" t="inlineStr">
        <is>
          <t>12.58m x 9.57m</t>
        </is>
      </c>
      <c r="G101" s="138">
        <f>'Inventario Detallado'!G101</f>
        <v/>
      </c>
      <c r="H101" s="139" t="n">
        <v>56</v>
      </c>
      <c r="I101" s="139" t="n">
        <v>65</v>
      </c>
      <c r="J101" s="135" t="inlineStr">
        <is>
          <t>Disponible</t>
        </is>
      </c>
    </row>
    <row r="102">
      <c r="A102" s="135" t="inlineStr">
        <is>
          <t>L101</t>
        </is>
      </c>
      <c r="B102" s="136" t="inlineStr">
        <is>
          <t>Lote 101</t>
        </is>
      </c>
      <c r="C102" s="135" t="inlineStr">
        <is>
          <t>M9</t>
        </is>
      </c>
      <c r="D102" s="136" t="inlineStr">
        <is>
          <t>Lote Tiny House</t>
        </is>
      </c>
      <c r="E102" s="137">
        <f>'Inventario Detallado'!E102</f>
        <v/>
      </c>
      <c r="F102" s="135" t="inlineStr">
        <is>
          <t>12.58m x 9.58m</t>
        </is>
      </c>
      <c r="G102" s="138">
        <f>'Inventario Detallado'!G102</f>
        <v/>
      </c>
      <c r="H102" s="139" t="n">
        <v>56</v>
      </c>
      <c r="I102" s="139" t="n">
        <v>53</v>
      </c>
      <c r="J102" s="135" t="inlineStr">
        <is>
          <t>Disponible</t>
        </is>
      </c>
    </row>
    <row r="103">
      <c r="A103" s="135" t="inlineStr">
        <is>
          <t>L102</t>
        </is>
      </c>
      <c r="B103" s="136" t="inlineStr">
        <is>
          <t>Lote 102</t>
        </is>
      </c>
      <c r="C103" s="135" t="inlineStr">
        <is>
          <t>M9</t>
        </is>
      </c>
      <c r="D103" s="136" t="inlineStr">
        <is>
          <t>Lote Tiny House</t>
        </is>
      </c>
      <c r="E103" s="137">
        <f>'Inventario Detallado'!E103</f>
        <v/>
      </c>
      <c r="F103" s="135" t="inlineStr">
        <is>
          <t>12.58m x 9.61m</t>
        </is>
      </c>
      <c r="G103" s="138">
        <f>'Inventario Detallado'!G103</f>
        <v/>
      </c>
      <c r="H103" s="139" t="n">
        <v>57</v>
      </c>
      <c r="I103" s="139" t="n">
        <v>40</v>
      </c>
      <c r="J103" s="135" t="inlineStr">
        <is>
          <t>Disponible</t>
        </is>
      </c>
    </row>
    <row r="104">
      <c r="A104" s="135" t="inlineStr">
        <is>
          <t>L103</t>
        </is>
      </c>
      <c r="B104" s="136" t="inlineStr">
        <is>
          <t>Lote 103</t>
        </is>
      </c>
      <c r="C104" s="135" t="inlineStr">
        <is>
          <t>M9</t>
        </is>
      </c>
      <c r="D104" s="136" t="inlineStr">
        <is>
          <t>Lote Tiny House</t>
        </is>
      </c>
      <c r="E104" s="137">
        <f>'Inventario Detallado'!E104</f>
        <v/>
      </c>
      <c r="F104" s="135" t="inlineStr">
        <is>
          <t>12.58m x 9.67m</t>
        </is>
      </c>
      <c r="G104" s="138">
        <f>'Inventario Detallado'!G104</f>
        <v/>
      </c>
      <c r="H104" s="139" t="n">
        <v>57</v>
      </c>
      <c r="I104" s="139" t="n">
        <v>28</v>
      </c>
      <c r="J104" s="135" t="inlineStr">
        <is>
          <t>Disponible</t>
        </is>
      </c>
    </row>
    <row r="105">
      <c r="A105" s="135" t="inlineStr">
        <is>
          <t>L104</t>
        </is>
      </c>
      <c r="B105" s="136" t="inlineStr">
        <is>
          <t>Lote 104</t>
        </is>
      </c>
      <c r="C105" s="135" t="inlineStr">
        <is>
          <t>M9</t>
        </is>
      </c>
      <c r="D105" s="136" t="inlineStr">
        <is>
          <t>Lote Tiny House</t>
        </is>
      </c>
      <c r="E105" s="137">
        <f>'Inventario Detallado'!E105</f>
        <v/>
      </c>
      <c r="F105" s="135" t="inlineStr">
        <is>
          <t>12.58m x 9.75m</t>
        </is>
      </c>
      <c r="G105" s="138">
        <f>'Inventario Detallado'!G105</f>
        <v/>
      </c>
      <c r="H105" s="139" t="n">
        <v>58</v>
      </c>
      <c r="I105" s="139" t="n">
        <v>15</v>
      </c>
      <c r="J105" s="135" t="inlineStr">
        <is>
          <t>Disponible</t>
        </is>
      </c>
    </row>
    <row r="106">
      <c r="A106" s="135" t="inlineStr">
        <is>
          <t>L105</t>
        </is>
      </c>
      <c r="B106" s="136" t="inlineStr">
        <is>
          <t>Lote 105</t>
        </is>
      </c>
      <c r="C106" s="135" t="inlineStr">
        <is>
          <t>M10</t>
        </is>
      </c>
      <c r="D106" s="136" t="inlineStr">
        <is>
          <t>Lote Tiny House</t>
        </is>
      </c>
      <c r="E106" s="137">
        <f>'Inventario Detallado'!E106</f>
        <v/>
      </c>
      <c r="F106" s="135" t="inlineStr">
        <is>
          <t>12.17m x 18.75m</t>
        </is>
      </c>
      <c r="G106" s="138">
        <f>'Inventario Detallado'!G106</f>
        <v/>
      </c>
      <c r="H106" s="139" t="n">
        <v>33</v>
      </c>
      <c r="I106" s="139" t="n">
        <v>33</v>
      </c>
      <c r="J106" s="135" t="inlineStr">
        <is>
          <t>Disponible</t>
        </is>
      </c>
    </row>
    <row r="107">
      <c r="A107" s="135" t="inlineStr">
        <is>
          <t>L106</t>
        </is>
      </c>
      <c r="B107" s="136" t="inlineStr">
        <is>
          <t>Lote 106</t>
        </is>
      </c>
      <c r="C107" s="135" t="inlineStr">
        <is>
          <t>M10</t>
        </is>
      </c>
      <c r="D107" s="136" t="inlineStr">
        <is>
          <t>Lote Tiny House</t>
        </is>
      </c>
      <c r="E107" s="137">
        <f>'Inventario Detallado'!E107</f>
        <v/>
      </c>
      <c r="F107" s="135" t="inlineStr">
        <is>
          <t>12.17m x 18.67m</t>
        </is>
      </c>
      <c r="G107" s="138">
        <f>'Inventario Detallado'!G107</f>
        <v/>
      </c>
      <c r="H107" s="139" t="n">
        <v>33</v>
      </c>
      <c r="I107" s="139" t="n">
        <v>42</v>
      </c>
      <c r="J107" s="135" t="inlineStr">
        <is>
          <t>Disponible</t>
        </is>
      </c>
    </row>
    <row r="108">
      <c r="A108" s="135" t="inlineStr">
        <is>
          <t>L107</t>
        </is>
      </c>
      <c r="B108" s="136" t="inlineStr">
        <is>
          <t>Lote 107</t>
        </is>
      </c>
      <c r="C108" s="135" t="inlineStr">
        <is>
          <t>M10</t>
        </is>
      </c>
      <c r="D108" s="136" t="inlineStr">
        <is>
          <t>Lote Tiny House</t>
        </is>
      </c>
      <c r="E108" s="137">
        <f>'Inventario Detallado'!E108</f>
        <v/>
      </c>
      <c r="F108" s="135" t="inlineStr">
        <is>
          <t>12.17m x 18.64m</t>
        </is>
      </c>
      <c r="G108" s="138">
        <f>'Inventario Detallado'!G108</f>
        <v/>
      </c>
      <c r="H108" s="139" t="n">
        <v>33</v>
      </c>
      <c r="I108" s="139" t="n">
        <v>52</v>
      </c>
      <c r="J108" s="135" t="inlineStr">
        <is>
          <t>Disponible</t>
        </is>
      </c>
    </row>
    <row r="109">
      <c r="A109" s="135" t="inlineStr">
        <is>
          <t>L108</t>
        </is>
      </c>
      <c r="B109" s="136" t="inlineStr">
        <is>
          <t>Lote 108</t>
        </is>
      </c>
      <c r="C109" s="135" t="inlineStr">
        <is>
          <t>M10</t>
        </is>
      </c>
      <c r="D109" s="136" t="inlineStr">
        <is>
          <t>Lote Tiny House</t>
        </is>
      </c>
      <c r="E109" s="137">
        <f>'Inventario Detallado'!E109</f>
        <v/>
      </c>
      <c r="F109" s="135" t="inlineStr">
        <is>
          <t>12.19m x 18.66m</t>
        </is>
      </c>
      <c r="G109" s="138">
        <f>'Inventario Detallado'!G109</f>
        <v/>
      </c>
      <c r="H109" s="139" t="n">
        <v>33</v>
      </c>
      <c r="I109" s="139" t="n">
        <v>64</v>
      </c>
      <c r="J109" s="135" t="inlineStr">
        <is>
          <t>Disponible</t>
        </is>
      </c>
    </row>
    <row r="110">
      <c r="A110" s="135" t="inlineStr">
        <is>
          <t>L109</t>
        </is>
      </c>
      <c r="B110" s="136" t="inlineStr">
        <is>
          <t>Lote 109</t>
        </is>
      </c>
      <c r="C110" s="135" t="inlineStr">
        <is>
          <t>M10</t>
        </is>
      </c>
      <c r="D110" s="136" t="inlineStr">
        <is>
          <t>Lote Tiny House</t>
        </is>
      </c>
      <c r="E110" s="137">
        <f>'Inventario Detallado'!E110</f>
        <v/>
      </c>
      <c r="F110" s="135" t="inlineStr">
        <is>
          <t>12.19m x 18.74m</t>
        </is>
      </c>
      <c r="G110" s="138">
        <f>'Inventario Detallado'!G110</f>
        <v/>
      </c>
      <c r="H110" s="139" t="n">
        <v>33</v>
      </c>
      <c r="I110" s="139" t="n">
        <v>75</v>
      </c>
      <c r="J110" s="135" t="inlineStr">
        <is>
          <t>Disponible</t>
        </is>
      </c>
    </row>
    <row r="111">
      <c r="A111" s="135" t="inlineStr">
        <is>
          <t>L110</t>
        </is>
      </c>
      <c r="B111" s="136" t="inlineStr">
        <is>
          <t>Lote 110</t>
        </is>
      </c>
      <c r="C111" s="135" t="inlineStr">
        <is>
          <t>M10</t>
        </is>
      </c>
      <c r="D111" s="136" t="inlineStr">
        <is>
          <t>Lote Tiny House</t>
        </is>
      </c>
      <c r="E111" s="137">
        <f>'Inventario Detallado'!E111</f>
        <v/>
      </c>
      <c r="F111" s="135" t="inlineStr">
        <is>
          <t>12.19m x 18.86m</t>
        </is>
      </c>
      <c r="G111" s="138">
        <f>'Inventario Detallado'!G111</f>
        <v/>
      </c>
      <c r="H111" s="139" t="n">
        <v>34</v>
      </c>
      <c r="I111" s="139" t="n">
        <v>87</v>
      </c>
      <c r="J111" s="135" t="inlineStr">
        <is>
          <t>Disponible</t>
        </is>
      </c>
    </row>
    <row r="112">
      <c r="A112" s="135" t="inlineStr">
        <is>
          <t>L111</t>
        </is>
      </c>
      <c r="B112" s="136" t="inlineStr">
        <is>
          <t>Lote 111</t>
        </is>
      </c>
      <c r="C112" s="135" t="inlineStr">
        <is>
          <t>M10</t>
        </is>
      </c>
      <c r="D112" s="136" t="inlineStr">
        <is>
          <t>Lote Tiny House</t>
        </is>
      </c>
      <c r="E112" s="137">
        <f>'Inventario Detallado'!E112</f>
        <v/>
      </c>
      <c r="F112" s="135" t="inlineStr">
        <is>
          <t>12.19m x 19.02m</t>
        </is>
      </c>
      <c r="G112" s="138">
        <f>'Inventario Detallado'!G112</f>
        <v/>
      </c>
      <c r="H112" s="139" t="n">
        <v>34</v>
      </c>
      <c r="I112" s="139" t="n">
        <v>97</v>
      </c>
      <c r="J112" s="135" t="inlineStr">
        <is>
          <t>Disponible</t>
        </is>
      </c>
    </row>
    <row r="113">
      <c r="A113" s="135" t="inlineStr">
        <is>
          <t>L112</t>
        </is>
      </c>
      <c r="B113" s="136" t="inlineStr">
        <is>
          <t>Lote 112</t>
        </is>
      </c>
      <c r="C113" s="135" t="inlineStr">
        <is>
          <t>M11</t>
        </is>
      </c>
      <c r="D113" s="136" t="inlineStr">
        <is>
          <t>Lote Tiny House</t>
        </is>
      </c>
      <c r="E113" s="137">
        <f>'Inventario Detallado'!E113</f>
        <v/>
      </c>
      <c r="F113" s="135" t="inlineStr">
        <is>
          <t>12.08m x 19.26m</t>
        </is>
      </c>
      <c r="G113" s="138">
        <f>'Inventario Detallado'!G113</f>
        <v/>
      </c>
      <c r="H113" s="139" t="n">
        <v>36</v>
      </c>
      <c r="I113" s="139" t="n">
        <v>112</v>
      </c>
      <c r="J113" s="135" t="inlineStr">
        <is>
          <t>Disponible</t>
        </is>
      </c>
    </row>
    <row r="114">
      <c r="A114" s="135" t="inlineStr">
        <is>
          <t>L113</t>
        </is>
      </c>
      <c r="B114" s="136" t="inlineStr">
        <is>
          <t>Lote 113</t>
        </is>
      </c>
      <c r="C114" s="135" t="inlineStr">
        <is>
          <t>M11</t>
        </is>
      </c>
      <c r="D114" s="136" t="inlineStr">
        <is>
          <t>Lote Tiny House</t>
        </is>
      </c>
      <c r="E114" s="137">
        <f>'Inventario Detallado'!E114</f>
        <v/>
      </c>
      <c r="F114" s="135" t="inlineStr">
        <is>
          <t>12.08m x 19.34m</t>
        </is>
      </c>
      <c r="G114" s="138">
        <f>'Inventario Detallado'!G114</f>
        <v/>
      </c>
      <c r="H114" s="139" t="n">
        <v>35</v>
      </c>
      <c r="I114" s="139" t="n">
        <v>123</v>
      </c>
      <c r="J114" s="135" t="inlineStr">
        <is>
          <t>Disponible</t>
        </is>
      </c>
    </row>
    <row r="115">
      <c r="A115" s="135" t="inlineStr">
        <is>
          <t>L114</t>
        </is>
      </c>
      <c r="B115" s="136" t="inlineStr">
        <is>
          <t>Lote 114</t>
        </is>
      </c>
      <c r="C115" s="135" t="inlineStr">
        <is>
          <t>M11</t>
        </is>
      </c>
      <c r="D115" s="136" t="inlineStr">
        <is>
          <t>Lote Tiny House</t>
        </is>
      </c>
      <c r="E115" s="137">
        <f>'Inventario Detallado'!E115</f>
        <v/>
      </c>
      <c r="F115" s="135" t="inlineStr">
        <is>
          <t>12.08m x 19.37m</t>
        </is>
      </c>
      <c r="G115" s="138">
        <f>'Inventario Detallado'!G115</f>
        <v/>
      </c>
      <c r="H115" s="139" t="n">
        <v>35</v>
      </c>
      <c r="I115" s="139" t="n">
        <v>134</v>
      </c>
      <c r="J115" s="135" t="inlineStr">
        <is>
          <t>Disponible</t>
        </is>
      </c>
    </row>
    <row r="116">
      <c r="A116" s="135" t="inlineStr">
        <is>
          <t>L115</t>
        </is>
      </c>
      <c r="B116" s="136" t="inlineStr">
        <is>
          <t>Lote 115</t>
        </is>
      </c>
      <c r="C116" s="135" t="inlineStr">
        <is>
          <t>M11</t>
        </is>
      </c>
      <c r="D116" s="136" t="inlineStr">
        <is>
          <t>Lote Tiny House</t>
        </is>
      </c>
      <c r="E116" s="137">
        <f>'Inventario Detallado'!E116</f>
        <v/>
      </c>
      <c r="F116" s="135" t="inlineStr">
        <is>
          <t>12.08m x 19.39m</t>
        </is>
      </c>
      <c r="G116" s="138">
        <f>'Inventario Detallado'!G116</f>
        <v/>
      </c>
      <c r="H116" s="139" t="n">
        <v>36</v>
      </c>
      <c r="I116" s="139" t="n">
        <v>145</v>
      </c>
      <c r="J116" s="135" t="inlineStr">
        <is>
          <t>Disponible</t>
        </is>
      </c>
    </row>
    <row r="117">
      <c r="A117" s="135" t="inlineStr">
        <is>
          <t>L116</t>
        </is>
      </c>
      <c r="B117" s="136" t="inlineStr">
        <is>
          <t>Lote 116</t>
        </is>
      </c>
      <c r="C117" s="135" t="inlineStr">
        <is>
          <t>M11</t>
        </is>
      </c>
      <c r="D117" s="136" t="inlineStr">
        <is>
          <t>Lote Tiny House</t>
        </is>
      </c>
      <c r="E117" s="137">
        <f>'Inventario Detallado'!E117</f>
        <v/>
      </c>
      <c r="F117" s="135" t="inlineStr">
        <is>
          <t>12.08m x 19.42m</t>
        </is>
      </c>
      <c r="G117" s="138">
        <f>'Inventario Detallado'!G117</f>
        <v/>
      </c>
      <c r="H117" s="139" t="n">
        <v>36</v>
      </c>
      <c r="I117" s="139" t="n">
        <v>145</v>
      </c>
      <c r="J117" s="135" t="inlineStr">
        <is>
          <t>Disponible</t>
        </is>
      </c>
    </row>
    <row r="118">
      <c r="A118" s="135" t="inlineStr">
        <is>
          <t>L117</t>
        </is>
      </c>
      <c r="B118" s="136" t="inlineStr">
        <is>
          <t>Lote 117</t>
        </is>
      </c>
      <c r="C118" s="135" t="inlineStr">
        <is>
          <t>M11</t>
        </is>
      </c>
      <c r="D118" s="136" t="inlineStr">
        <is>
          <t>Lote Tiny House</t>
        </is>
      </c>
      <c r="E118" s="137">
        <f>'Inventario Detallado'!E118</f>
        <v/>
      </c>
      <c r="F118" s="135" t="inlineStr">
        <is>
          <t>12.08m x 19.45m</t>
        </is>
      </c>
      <c r="G118" s="138">
        <f>'Inventario Detallado'!G118</f>
        <v/>
      </c>
      <c r="H118" s="139" t="n">
        <v>36</v>
      </c>
      <c r="I118" s="139" t="n">
        <v>145</v>
      </c>
      <c r="J118" s="135" t="inlineStr">
        <is>
          <t>Disponible</t>
        </is>
      </c>
    </row>
    <row r="119">
      <c r="A119" s="135" t="inlineStr">
        <is>
          <t>L118</t>
        </is>
      </c>
      <c r="B119" s="136" t="inlineStr">
        <is>
          <t>Lote 118</t>
        </is>
      </c>
      <c r="C119" s="135" t="inlineStr">
        <is>
          <t>M11</t>
        </is>
      </c>
      <c r="D119" s="136" t="inlineStr">
        <is>
          <t>Lote Tiny House</t>
        </is>
      </c>
      <c r="E119" s="137">
        <f>'Inventario Detallado'!E119</f>
        <v/>
      </c>
      <c r="F119" s="135" t="inlineStr">
        <is>
          <t>12.08m x 19.47m</t>
        </is>
      </c>
      <c r="G119" s="138">
        <f>'Inventario Detallado'!G119</f>
        <v/>
      </c>
      <c r="H119" s="139" t="n">
        <v>36</v>
      </c>
      <c r="I119" s="139" t="n">
        <v>145</v>
      </c>
      <c r="J119" s="135" t="inlineStr">
        <is>
          <t>Disponible</t>
        </is>
      </c>
    </row>
    <row r="120">
      <c r="A120" s="135" t="inlineStr">
        <is>
          <t>L119</t>
        </is>
      </c>
      <c r="B120" s="136" t="inlineStr">
        <is>
          <t>Lote 119</t>
        </is>
      </c>
      <c r="C120" s="135" t="inlineStr">
        <is>
          <t>M11</t>
        </is>
      </c>
      <c r="D120" s="136" t="inlineStr">
        <is>
          <t>Lote Tiny House</t>
        </is>
      </c>
      <c r="E120" s="137">
        <f>'Inventario Detallado'!E120</f>
        <v/>
      </c>
      <c r="F120" s="135" t="inlineStr">
        <is>
          <t>12.08m x 19.50m</t>
        </is>
      </c>
      <c r="G120" s="138">
        <f>'Inventario Detallado'!G120</f>
        <v/>
      </c>
      <c r="H120" s="139" t="n">
        <v>36</v>
      </c>
      <c r="I120" s="139" t="n">
        <v>145</v>
      </c>
      <c r="J120" s="135" t="inlineStr">
        <is>
          <t>Disponible</t>
        </is>
      </c>
    </row>
    <row r="121">
      <c r="A121" s="135" t="inlineStr">
        <is>
          <t>L120</t>
        </is>
      </c>
      <c r="B121" s="136" t="inlineStr">
        <is>
          <t>Lote 120</t>
        </is>
      </c>
      <c r="C121" s="135" t="inlineStr">
        <is>
          <t>M11</t>
        </is>
      </c>
      <c r="D121" s="136" t="inlineStr">
        <is>
          <t>Lote Tiny House</t>
        </is>
      </c>
      <c r="E121" s="137">
        <f>'Inventario Detallado'!E121</f>
        <v/>
      </c>
      <c r="F121" s="135" t="inlineStr">
        <is>
          <t>12.08m x 19.52m</t>
        </is>
      </c>
      <c r="G121" s="138">
        <f>'Inventario Detallado'!G121</f>
        <v/>
      </c>
      <c r="H121" s="139" t="n">
        <v>36</v>
      </c>
      <c r="I121" s="139" t="n">
        <v>145</v>
      </c>
      <c r="J121" s="135" t="inlineStr">
        <is>
          <t>Disponible</t>
        </is>
      </c>
    </row>
    <row r="122">
      <c r="A122" s="135" t="inlineStr">
        <is>
          <t>L121</t>
        </is>
      </c>
      <c r="B122" s="136" t="inlineStr">
        <is>
          <t>Lote 121</t>
        </is>
      </c>
      <c r="C122" s="135" t="inlineStr">
        <is>
          <t>M11</t>
        </is>
      </c>
      <c r="D122" s="136" t="inlineStr">
        <is>
          <t>Lote Tiny House</t>
        </is>
      </c>
      <c r="E122" s="137">
        <f>'Inventario Detallado'!E122</f>
        <v/>
      </c>
      <c r="F122" s="135" t="inlineStr">
        <is>
          <t>12.08m x 19.55m</t>
        </is>
      </c>
      <c r="G122" s="138">
        <f>'Inventario Detallado'!G122</f>
        <v/>
      </c>
      <c r="H122" s="139" t="n">
        <v>36</v>
      </c>
      <c r="I122" s="139" t="n">
        <v>133</v>
      </c>
      <c r="J122" s="135" t="inlineStr">
        <is>
          <t>Disponible</t>
        </is>
      </c>
    </row>
    <row r="123">
      <c r="A123" s="135" t="inlineStr">
        <is>
          <t>L122</t>
        </is>
      </c>
      <c r="B123" s="136" t="inlineStr">
        <is>
          <t>Lote 122</t>
        </is>
      </c>
      <c r="C123" s="135" t="inlineStr">
        <is>
          <t>M12</t>
        </is>
      </c>
      <c r="D123" s="136" t="inlineStr">
        <is>
          <t>Lote Tiny House</t>
        </is>
      </c>
      <c r="E123" s="137">
        <f>'Inventario Detallado'!E123</f>
        <v/>
      </c>
      <c r="F123" s="135" t="inlineStr">
        <is>
          <t>12.57m x 19.53m</t>
        </is>
      </c>
      <c r="G123" s="138">
        <f>'Inventario Detallado'!G123</f>
        <v/>
      </c>
      <c r="H123" s="139" t="n">
        <v>35</v>
      </c>
      <c r="I123" s="139" t="n">
        <v>116</v>
      </c>
      <c r="J123" s="135" t="inlineStr">
        <is>
          <t>Disponible</t>
        </is>
      </c>
    </row>
    <row r="124">
      <c r="A124" s="135" t="inlineStr">
        <is>
          <t>L123</t>
        </is>
      </c>
      <c r="B124" s="136" t="inlineStr">
        <is>
          <t>Lote 123</t>
        </is>
      </c>
      <c r="C124" s="135" t="inlineStr">
        <is>
          <t>M12</t>
        </is>
      </c>
      <c r="D124" s="136" t="inlineStr">
        <is>
          <t>Lote Tiny House</t>
        </is>
      </c>
      <c r="E124" s="137">
        <f>'Inventario Detallado'!E124</f>
        <v/>
      </c>
      <c r="F124" s="135" t="inlineStr">
        <is>
          <t>12.58m x 19.42m</t>
        </is>
      </c>
      <c r="G124" s="138">
        <f>'Inventario Detallado'!G124</f>
        <v/>
      </c>
      <c r="H124" s="139" t="n">
        <v>34</v>
      </c>
      <c r="I124" s="139" t="n">
        <v>103</v>
      </c>
      <c r="J124" s="135" t="inlineStr">
        <is>
          <t>Disponible</t>
        </is>
      </c>
    </row>
    <row r="125">
      <c r="A125" s="135" t="inlineStr">
        <is>
          <t>L124</t>
        </is>
      </c>
      <c r="B125" s="136" t="inlineStr">
        <is>
          <t>Lote 124</t>
        </is>
      </c>
      <c r="C125" s="135" t="inlineStr">
        <is>
          <t>M12</t>
        </is>
      </c>
      <c r="D125" s="136" t="inlineStr">
        <is>
          <t>Lote Tiny House</t>
        </is>
      </c>
      <c r="E125" s="137">
        <f>'Inventario Detallado'!E125</f>
        <v/>
      </c>
      <c r="F125" s="135" t="inlineStr">
        <is>
          <t>12.58m x 19.29m</t>
        </is>
      </c>
      <c r="G125" s="138">
        <f>'Inventario Detallado'!G125</f>
        <v/>
      </c>
      <c r="H125" s="139" t="n">
        <v>34</v>
      </c>
      <c r="I125" s="139" t="n">
        <v>91</v>
      </c>
      <c r="J125" s="135" t="inlineStr">
        <is>
          <t>Disponible</t>
        </is>
      </c>
    </row>
    <row r="126">
      <c r="A126" s="135" t="inlineStr">
        <is>
          <t>L125</t>
        </is>
      </c>
      <c r="B126" s="136" t="inlineStr">
        <is>
          <t>Lote 125</t>
        </is>
      </c>
      <c r="C126" s="135" t="inlineStr">
        <is>
          <t>M12</t>
        </is>
      </c>
      <c r="D126" s="136" t="inlineStr">
        <is>
          <t>Lote Tiny House</t>
        </is>
      </c>
      <c r="E126" s="137">
        <f>'Inventario Detallado'!E126</f>
        <v/>
      </c>
      <c r="F126" s="135" t="inlineStr">
        <is>
          <t>12.58m x 19.19m</t>
        </is>
      </c>
      <c r="G126" s="138">
        <f>'Inventario Detallado'!G126</f>
        <v/>
      </c>
      <c r="H126" s="139" t="n">
        <v>34</v>
      </c>
      <c r="I126" s="139" t="n">
        <v>79</v>
      </c>
      <c r="J126" s="135" t="inlineStr">
        <is>
          <t>Disponible</t>
        </is>
      </c>
    </row>
    <row r="127">
      <c r="A127" s="135" t="inlineStr">
        <is>
          <t>L127</t>
        </is>
      </c>
      <c r="B127" s="136" t="inlineStr">
        <is>
          <t>Lote 127</t>
        </is>
      </c>
      <c r="C127" s="135" t="inlineStr">
        <is>
          <t>M12</t>
        </is>
      </c>
      <c r="D127" s="136" t="inlineStr">
        <is>
          <t>Lote Tiny House</t>
        </is>
      </c>
      <c r="E127" s="137">
        <f>'Inventario Detallado'!E128</f>
        <v/>
      </c>
      <c r="F127" s="135" t="inlineStr">
        <is>
          <t>12.59m x 19.15m</t>
        </is>
      </c>
      <c r="G127" s="138">
        <f>'Inventario Detallado'!G128</f>
        <v/>
      </c>
      <c r="H127" s="139" t="n">
        <v>34</v>
      </c>
      <c r="I127" s="139" t="n">
        <v>53</v>
      </c>
      <c r="J127" s="135" t="inlineStr">
        <is>
          <t>Disponible</t>
        </is>
      </c>
    </row>
    <row r="128">
      <c r="A128" s="135" t="inlineStr">
        <is>
          <t>L128</t>
        </is>
      </c>
      <c r="B128" s="136" t="inlineStr">
        <is>
          <t>Lote 128</t>
        </is>
      </c>
      <c r="C128" s="135" t="inlineStr">
        <is>
          <t>M12</t>
        </is>
      </c>
      <c r="D128" s="136" t="inlineStr">
        <is>
          <t>Lote Tiny House</t>
        </is>
      </c>
      <c r="E128" s="137">
        <f>'Inventario Detallado'!E129</f>
        <v/>
      </c>
      <c r="F128" s="135" t="inlineStr">
        <is>
          <t>12.59m x 19.22m</t>
        </is>
      </c>
      <c r="G128" s="138">
        <f>'Inventario Detallado'!G129</f>
        <v/>
      </c>
      <c r="H128" s="139" t="n">
        <v>34</v>
      </c>
      <c r="I128" s="139" t="n">
        <v>41</v>
      </c>
      <c r="J128" s="135" t="inlineStr">
        <is>
          <t>Disponible</t>
        </is>
      </c>
    </row>
    <row r="129">
      <c r="A129" s="135" t="inlineStr">
        <is>
          <t>L129</t>
        </is>
      </c>
      <c r="B129" s="136" t="inlineStr">
        <is>
          <t>Lote 129</t>
        </is>
      </c>
      <c r="C129" s="135" t="inlineStr">
        <is>
          <t>M12</t>
        </is>
      </c>
      <c r="D129" s="136" t="inlineStr">
        <is>
          <t>Lote Tiny House</t>
        </is>
      </c>
      <c r="E129" s="137">
        <f>'Inventario Detallado'!E130</f>
        <v/>
      </c>
      <c r="F129" s="135" t="inlineStr">
        <is>
          <t>12.59m x 19.34m</t>
        </is>
      </c>
      <c r="G129" s="138">
        <f>'Inventario Detallado'!G130</f>
        <v/>
      </c>
      <c r="H129" s="139" t="n">
        <v>35</v>
      </c>
      <c r="I129" s="139" t="n">
        <v>28</v>
      </c>
      <c r="J129" s="135" t="inlineStr">
        <is>
          <t>Disponible</t>
        </is>
      </c>
    </row>
    <row r="130">
      <c r="A130" s="135" t="inlineStr">
        <is>
          <t>L130</t>
        </is>
      </c>
      <c r="B130" s="136" t="inlineStr">
        <is>
          <t>Lote 130</t>
        </is>
      </c>
      <c r="C130" s="135" t="inlineStr">
        <is>
          <t>M12</t>
        </is>
      </c>
      <c r="D130" s="136" t="inlineStr">
        <is>
          <t>Lote Tiny House</t>
        </is>
      </c>
      <c r="E130" s="137">
        <f>'Inventario Detallado'!E131</f>
        <v/>
      </c>
      <c r="F130" s="135" t="inlineStr">
        <is>
          <t>12.59m x 19.50m</t>
        </is>
      </c>
      <c r="G130" s="138">
        <f>'Inventario Detallado'!G131</f>
        <v/>
      </c>
      <c r="H130" s="139" t="n">
        <v>35</v>
      </c>
      <c r="I130" s="139" t="n">
        <v>15</v>
      </c>
      <c r="J130" s="135" t="inlineStr">
        <is>
          <t>Disponible</t>
        </is>
      </c>
    </row>
    <row r="131">
      <c r="A131" s="135" t="inlineStr">
        <is>
          <t>L131</t>
        </is>
      </c>
      <c r="B131" s="136" t="inlineStr">
        <is>
          <t>Lote 131</t>
        </is>
      </c>
      <c r="C131" s="135" t="inlineStr">
        <is>
          <t>M13</t>
        </is>
      </c>
      <c r="D131" s="136" t="inlineStr">
        <is>
          <t>Lote Premium (Oasis)</t>
        </is>
      </c>
      <c r="E131" s="137">
        <f>'Inventario Detallado'!E132</f>
        <v/>
      </c>
      <c r="F131" s="135" t="inlineStr">
        <is>
          <t>12.20m x 18.93m</t>
        </is>
      </c>
      <c r="G131" s="138">
        <f>'Inventario Detallado'!G132</f>
        <v/>
      </c>
      <c r="H131" s="139" t="n">
        <v>3</v>
      </c>
      <c r="I131" s="139" t="n">
        <v>57</v>
      </c>
      <c r="J131" s="135" t="inlineStr">
        <is>
          <t>Disponible</t>
        </is>
      </c>
    </row>
    <row r="132">
      <c r="A132" s="135" t="inlineStr">
        <is>
          <t>L132</t>
        </is>
      </c>
      <c r="B132" s="136" t="inlineStr">
        <is>
          <t>Lote 132</t>
        </is>
      </c>
      <c r="C132" s="135" t="inlineStr">
        <is>
          <t>M13</t>
        </is>
      </c>
      <c r="D132" s="136" t="inlineStr">
        <is>
          <t>Lote Premium (Oasis)</t>
        </is>
      </c>
      <c r="E132" s="137">
        <f>'Inventario Detallado'!E133</f>
        <v/>
      </c>
      <c r="F132" s="135" t="inlineStr">
        <is>
          <t>12.20m x 18.91m</t>
        </is>
      </c>
      <c r="G132" s="138">
        <f>'Inventario Detallado'!G133</f>
        <v/>
      </c>
      <c r="H132" s="139" t="n">
        <v>1</v>
      </c>
      <c r="I132" s="139" t="n">
        <v>63</v>
      </c>
      <c r="J132" s="135" t="inlineStr">
        <is>
          <t>Disponible</t>
        </is>
      </c>
    </row>
    <row r="133">
      <c r="A133" s="135" t="inlineStr">
        <is>
          <t>L133</t>
        </is>
      </c>
      <c r="B133" s="136" t="inlineStr">
        <is>
          <t>Lote 133</t>
        </is>
      </c>
      <c r="C133" s="135" t="inlineStr">
        <is>
          <t>M13</t>
        </is>
      </c>
      <c r="D133" s="136" t="inlineStr">
        <is>
          <t>Lote Premium (Oasis)</t>
        </is>
      </c>
      <c r="E133" s="137">
        <f>'Inventario Detallado'!E134</f>
        <v/>
      </c>
      <c r="F133" s="135" t="inlineStr">
        <is>
          <t>12.20m x 18.90m</t>
        </is>
      </c>
      <c r="G133" s="138">
        <f>'Inventario Detallado'!G134</f>
        <v/>
      </c>
      <c r="H133" s="139" t="n">
        <v>1</v>
      </c>
      <c r="I133" s="139" t="n">
        <v>70</v>
      </c>
      <c r="J133" s="135" t="inlineStr">
        <is>
          <t>Disponible</t>
        </is>
      </c>
    </row>
    <row r="134">
      <c r="A134" s="135" t="inlineStr">
        <is>
          <t>L134</t>
        </is>
      </c>
      <c r="B134" s="136" t="inlineStr">
        <is>
          <t>Lote 134</t>
        </is>
      </c>
      <c r="C134" s="135" t="inlineStr">
        <is>
          <t>M13</t>
        </is>
      </c>
      <c r="D134" s="136" t="inlineStr">
        <is>
          <t>Lote Premium (Oasis)</t>
        </is>
      </c>
      <c r="E134" s="137">
        <f>'Inventario Detallado'!E135</f>
        <v/>
      </c>
      <c r="F134" s="135" t="inlineStr">
        <is>
          <t>12.22m x 18.93m</t>
        </is>
      </c>
      <c r="G134" s="138">
        <f>'Inventario Detallado'!G135</f>
        <v/>
      </c>
      <c r="H134" s="139" t="n">
        <v>1</v>
      </c>
      <c r="I134" s="139" t="n">
        <v>78</v>
      </c>
      <c r="J134" s="135" t="inlineStr">
        <is>
          <t>Disponible</t>
        </is>
      </c>
    </row>
    <row r="135">
      <c r="A135" s="135" t="inlineStr">
        <is>
          <t>L135</t>
        </is>
      </c>
      <c r="B135" s="136" t="inlineStr">
        <is>
          <t>Lote 135</t>
        </is>
      </c>
      <c r="C135" s="135" t="inlineStr">
        <is>
          <t>M13</t>
        </is>
      </c>
      <c r="D135" s="136" t="inlineStr">
        <is>
          <t>Lote Premium (Oasis)</t>
        </is>
      </c>
      <c r="E135" s="137">
        <f>'Inventario Detallado'!E136</f>
        <v/>
      </c>
      <c r="F135" s="135" t="inlineStr">
        <is>
          <t>12.22m x 18.98m</t>
        </is>
      </c>
      <c r="G135" s="138">
        <f>'Inventario Detallado'!G136</f>
        <v/>
      </c>
      <c r="H135" s="139" t="n">
        <v>1</v>
      </c>
      <c r="I135" s="139" t="n">
        <v>87</v>
      </c>
      <c r="J135" s="135" t="inlineStr">
        <is>
          <t>Disponible</t>
        </is>
      </c>
    </row>
    <row r="136">
      <c r="A136" s="135" t="inlineStr">
        <is>
          <t>L136</t>
        </is>
      </c>
      <c r="B136" s="136" t="inlineStr">
        <is>
          <t>Lote 136</t>
        </is>
      </c>
      <c r="C136" s="135" t="inlineStr">
        <is>
          <t>M13</t>
        </is>
      </c>
      <c r="D136" s="136" t="inlineStr">
        <is>
          <t>Lote Premium (Oasis)</t>
        </is>
      </c>
      <c r="E136" s="137">
        <f>'Inventario Detallado'!E137</f>
        <v/>
      </c>
      <c r="F136" s="135" t="inlineStr">
        <is>
          <t>12.22m x 19.05m</t>
        </is>
      </c>
      <c r="G136" s="138">
        <f>'Inventario Detallado'!G137</f>
        <v/>
      </c>
      <c r="H136" s="139" t="n">
        <v>3</v>
      </c>
      <c r="I136" s="139" t="n">
        <v>97</v>
      </c>
      <c r="J136" s="135" t="inlineStr">
        <is>
          <t>Disponible</t>
        </is>
      </c>
    </row>
    <row r="137">
      <c r="A137" s="135" t="inlineStr">
        <is>
          <t>L138</t>
        </is>
      </c>
      <c r="B137" s="136" t="inlineStr">
        <is>
          <t>Lote 138</t>
        </is>
      </c>
      <c r="C137" s="135" t="inlineStr">
        <is>
          <t>M14</t>
        </is>
      </c>
      <c r="D137" s="136" t="inlineStr">
        <is>
          <t>Lote Premium (Oasis)</t>
        </is>
      </c>
      <c r="E137" s="137">
        <f>'Inventario Detallado'!E139</f>
        <v/>
      </c>
      <c r="F137" s="135" t="inlineStr">
        <is>
          <t>12.09m x 19.29m</t>
        </is>
      </c>
      <c r="G137" s="138">
        <f>'Inventario Detallado'!G139</f>
        <v/>
      </c>
      <c r="H137" s="139" t="n">
        <v>8</v>
      </c>
      <c r="I137" s="139" t="n">
        <v>122</v>
      </c>
      <c r="J137" s="135" t="inlineStr">
        <is>
          <t>Disponible</t>
        </is>
      </c>
    </row>
    <row r="138">
      <c r="A138" s="135" t="inlineStr">
        <is>
          <t>L139</t>
        </is>
      </c>
      <c r="B138" s="136" t="inlineStr">
        <is>
          <t>Lote 139</t>
        </is>
      </c>
      <c r="C138" s="135" t="inlineStr">
        <is>
          <t>M14</t>
        </is>
      </c>
      <c r="D138" s="136" t="inlineStr">
        <is>
          <t>Lote Premium (Oasis)</t>
        </is>
      </c>
      <c r="E138" s="137">
        <f>'Inventario Detallado'!E140</f>
        <v/>
      </c>
      <c r="F138" s="135" t="inlineStr">
        <is>
          <t>12.10m x 19.34m</t>
        </is>
      </c>
      <c r="G138" s="138">
        <f>'Inventario Detallado'!G140</f>
        <v/>
      </c>
      <c r="H138" s="139" t="n">
        <v>8</v>
      </c>
      <c r="I138" s="139" t="n">
        <v>133</v>
      </c>
      <c r="J138" s="135" t="inlineStr">
        <is>
          <t>Disponible</t>
        </is>
      </c>
    </row>
    <row r="139">
      <c r="A139" s="135" t="inlineStr">
        <is>
          <t>L140</t>
        </is>
      </c>
      <c r="B139" s="136" t="inlineStr">
        <is>
          <t>Lote 140</t>
        </is>
      </c>
      <c r="C139" s="135" t="inlineStr">
        <is>
          <t>M14</t>
        </is>
      </c>
      <c r="D139" s="136" t="inlineStr">
        <is>
          <t>Lote Premium (Oasis)</t>
        </is>
      </c>
      <c r="E139" s="137">
        <f>'Inventario Detallado'!E141</f>
        <v/>
      </c>
      <c r="F139" s="135" t="inlineStr">
        <is>
          <t>12.10m x 19.37m</t>
        </is>
      </c>
      <c r="G139" s="138">
        <f>'Inventario Detallado'!G141</f>
        <v/>
      </c>
      <c r="H139" s="139" t="n">
        <v>8</v>
      </c>
      <c r="I139" s="139" t="n">
        <v>144</v>
      </c>
      <c r="J139" s="135" t="inlineStr">
        <is>
          <t>Disponible</t>
        </is>
      </c>
    </row>
    <row r="140">
      <c r="A140" s="135" t="inlineStr">
        <is>
          <t>L141</t>
        </is>
      </c>
      <c r="B140" s="136" t="inlineStr">
        <is>
          <t>Lote 141</t>
        </is>
      </c>
      <c r="C140" s="135" t="inlineStr">
        <is>
          <t>M14</t>
        </is>
      </c>
      <c r="D140" s="136" t="inlineStr">
        <is>
          <t>Lote Premium (Oasis)</t>
        </is>
      </c>
      <c r="E140" s="137">
        <f>'Inventario Detallado'!E142</f>
        <v/>
      </c>
      <c r="F140" s="135" t="inlineStr">
        <is>
          <t>12.10m x 19.39m</t>
        </is>
      </c>
      <c r="G140" s="138">
        <f>'Inventario Detallado'!G142</f>
        <v/>
      </c>
      <c r="H140" s="139" t="n">
        <v>8</v>
      </c>
      <c r="I140" s="139" t="n">
        <v>145</v>
      </c>
      <c r="J140" s="135" t="inlineStr">
        <is>
          <t>Disponible</t>
        </is>
      </c>
    </row>
    <row r="141">
      <c r="A141" s="135" t="inlineStr">
        <is>
          <t>L142</t>
        </is>
      </c>
      <c r="B141" s="136" t="inlineStr">
        <is>
          <t>Lote 142</t>
        </is>
      </c>
      <c r="C141" s="135" t="inlineStr">
        <is>
          <t>M14</t>
        </is>
      </c>
      <c r="D141" s="136" t="inlineStr">
        <is>
          <t>Lote Premium (Oasis)</t>
        </is>
      </c>
      <c r="E141" s="137">
        <f>'Inventario Detallado'!E143</f>
        <v/>
      </c>
      <c r="F141" s="135" t="inlineStr">
        <is>
          <t>12.10m x 19.42m</t>
        </is>
      </c>
      <c r="G141" s="138">
        <f>'Inventario Detallado'!G143</f>
        <v/>
      </c>
      <c r="H141" s="139" t="n">
        <v>8</v>
      </c>
      <c r="I141" s="139" t="n">
        <v>145</v>
      </c>
      <c r="J141" s="135" t="inlineStr">
        <is>
          <t>Disponible</t>
        </is>
      </c>
    </row>
    <row r="142">
      <c r="A142" s="135" t="inlineStr">
        <is>
          <t>L143</t>
        </is>
      </c>
      <c r="B142" s="136" t="inlineStr">
        <is>
          <t>Lote 143</t>
        </is>
      </c>
      <c r="C142" s="135" t="inlineStr">
        <is>
          <t>M14</t>
        </is>
      </c>
      <c r="D142" s="136" t="inlineStr">
        <is>
          <t>Lote Premium (Oasis)</t>
        </is>
      </c>
      <c r="E142" s="137">
        <f>'Inventario Detallado'!E144</f>
        <v/>
      </c>
      <c r="F142" s="135" t="inlineStr">
        <is>
          <t>12.10m x 19.45m</t>
        </is>
      </c>
      <c r="G142" s="138">
        <f>'Inventario Detallado'!G144</f>
        <v/>
      </c>
      <c r="H142" s="139" t="n">
        <v>8</v>
      </c>
      <c r="I142" s="139" t="n">
        <v>145</v>
      </c>
      <c r="J142" s="135" t="inlineStr">
        <is>
          <t>Disponible</t>
        </is>
      </c>
    </row>
    <row r="143">
      <c r="A143" s="135" t="inlineStr">
        <is>
          <t>L144</t>
        </is>
      </c>
      <c r="B143" s="136" t="inlineStr">
        <is>
          <t>Lote 144</t>
        </is>
      </c>
      <c r="C143" s="135" t="inlineStr">
        <is>
          <t>M14</t>
        </is>
      </c>
      <c r="D143" s="136" t="inlineStr">
        <is>
          <t>Lote Premium (Oasis)</t>
        </is>
      </c>
      <c r="E143" s="137">
        <f>'Inventario Detallado'!E145</f>
        <v/>
      </c>
      <c r="F143" s="135" t="inlineStr">
        <is>
          <t>12.10m x 19.47m</t>
        </is>
      </c>
      <c r="G143" s="138">
        <f>'Inventario Detallado'!G145</f>
        <v/>
      </c>
      <c r="H143" s="139" t="n">
        <v>8</v>
      </c>
      <c r="I143" s="139" t="n">
        <v>145</v>
      </c>
      <c r="J143" s="135" t="inlineStr">
        <is>
          <t>Disponible</t>
        </is>
      </c>
    </row>
    <row r="144">
      <c r="A144" s="135" t="inlineStr">
        <is>
          <t>L145</t>
        </is>
      </c>
      <c r="B144" s="136" t="inlineStr">
        <is>
          <t>Lote 145</t>
        </is>
      </c>
      <c r="C144" s="135" t="inlineStr">
        <is>
          <t>M14</t>
        </is>
      </c>
      <c r="D144" s="136" t="inlineStr">
        <is>
          <t>Lote Premium (Oasis)</t>
        </is>
      </c>
      <c r="E144" s="137">
        <f>'Inventario Detallado'!E146</f>
        <v/>
      </c>
      <c r="F144" s="135" t="inlineStr">
        <is>
          <t>12.10m x 19.50m</t>
        </is>
      </c>
      <c r="G144" s="138">
        <f>'Inventario Detallado'!G146</f>
        <v/>
      </c>
      <c r="H144" s="139" t="n">
        <v>8</v>
      </c>
      <c r="I144" s="139" t="n">
        <v>145</v>
      </c>
      <c r="J144" s="135" t="inlineStr">
        <is>
          <t>Disponible</t>
        </is>
      </c>
    </row>
    <row r="145">
      <c r="A145" s="135" t="inlineStr">
        <is>
          <t>L146</t>
        </is>
      </c>
      <c r="B145" s="136" t="inlineStr">
        <is>
          <t>Lote 146</t>
        </is>
      </c>
      <c r="C145" s="135" t="inlineStr">
        <is>
          <t>M14</t>
        </is>
      </c>
      <c r="D145" s="136" t="inlineStr">
        <is>
          <t>Lote Premium (Oasis)</t>
        </is>
      </c>
      <c r="E145" s="137">
        <f>'Inventario Detallado'!E147</f>
        <v/>
      </c>
      <c r="F145" s="135" t="inlineStr">
        <is>
          <t>12.10m x 19.52m</t>
        </is>
      </c>
      <c r="G145" s="138">
        <f>'Inventario Detallado'!G147</f>
        <v/>
      </c>
      <c r="H145" s="139" t="n">
        <v>8</v>
      </c>
      <c r="I145" s="139" t="n">
        <v>145</v>
      </c>
      <c r="J145" s="135" t="inlineStr">
        <is>
          <t>Disponible</t>
        </is>
      </c>
    </row>
    <row r="146">
      <c r="A146" s="135" t="inlineStr">
        <is>
          <t>L147</t>
        </is>
      </c>
      <c r="B146" s="136" t="inlineStr">
        <is>
          <t>Lote 147</t>
        </is>
      </c>
      <c r="C146" s="135" t="inlineStr">
        <is>
          <t>M14</t>
        </is>
      </c>
      <c r="D146" s="136" t="inlineStr">
        <is>
          <t>Lote Premium (Oasis)</t>
        </is>
      </c>
      <c r="E146" s="137">
        <f>'Inventario Detallado'!E148</f>
        <v/>
      </c>
      <c r="F146" s="135" t="inlineStr">
        <is>
          <t>12.10m x 19.55m</t>
        </is>
      </c>
      <c r="G146" s="138">
        <f>'Inventario Detallado'!G148</f>
        <v/>
      </c>
      <c r="H146" s="139" t="n">
        <v>9</v>
      </c>
      <c r="I146" s="139" t="n">
        <v>133</v>
      </c>
      <c r="J146" s="135" t="inlineStr">
        <is>
          <t>Disponible</t>
        </is>
      </c>
    </row>
    <row r="147">
      <c r="A147" s="135" t="inlineStr">
        <is>
          <t>L148</t>
        </is>
      </c>
      <c r="B147" s="136" t="inlineStr">
        <is>
          <t>Lote 148</t>
        </is>
      </c>
      <c r="C147" s="135" t="inlineStr">
        <is>
          <t>M15</t>
        </is>
      </c>
      <c r="D147" s="136" t="inlineStr">
        <is>
          <t>Lote Premium (Oasis)</t>
        </is>
      </c>
      <c r="E147" s="137">
        <f>'Inventario Detallado'!E149</f>
        <v/>
      </c>
      <c r="F147" s="135" t="inlineStr">
        <is>
          <t>12.55m x 19.55m</t>
        </is>
      </c>
      <c r="G147" s="138">
        <f>'Inventario Detallado'!G149</f>
        <v/>
      </c>
      <c r="H147" s="139" t="n">
        <v>8</v>
      </c>
      <c r="I147" s="139" t="n">
        <v>116</v>
      </c>
      <c r="J147" s="135" t="inlineStr">
        <is>
          <t>Disponible</t>
        </is>
      </c>
    </row>
    <row r="148">
      <c r="A148" s="135" t="inlineStr">
        <is>
          <t>L149</t>
        </is>
      </c>
      <c r="B148" s="136" t="inlineStr">
        <is>
          <t>Lote 149</t>
        </is>
      </c>
      <c r="C148" s="135" t="inlineStr">
        <is>
          <t>M15</t>
        </is>
      </c>
      <c r="D148" s="136" t="inlineStr">
        <is>
          <t>Lote Premium (Oasis)</t>
        </is>
      </c>
      <c r="E148" s="137">
        <f>'Inventario Detallado'!E150</f>
        <v/>
      </c>
      <c r="F148" s="135" t="inlineStr">
        <is>
          <t>12.56m x 19.51m</t>
        </is>
      </c>
      <c r="G148" s="138">
        <f>'Inventario Detallado'!G150</f>
        <v/>
      </c>
      <c r="H148" s="139" t="n">
        <v>6</v>
      </c>
      <c r="I148" s="139" t="n">
        <v>103</v>
      </c>
      <c r="J148" s="135" t="inlineStr">
        <is>
          <t>Disponible</t>
        </is>
      </c>
    </row>
    <row r="149">
      <c r="A149" s="135" t="inlineStr">
        <is>
          <t>L151</t>
        </is>
      </c>
      <c r="B149" s="136" t="inlineStr">
        <is>
          <t>Lote 151</t>
        </is>
      </c>
      <c r="C149" s="135" t="inlineStr">
        <is>
          <t>M15</t>
        </is>
      </c>
      <c r="D149" s="136" t="inlineStr">
        <is>
          <t>Lote Premium (Oasis)</t>
        </is>
      </c>
      <c r="E149" s="137">
        <f>'Inventario Detallado'!E152</f>
        <v/>
      </c>
      <c r="F149" s="135" t="inlineStr">
        <is>
          <t>12.56m x 19.42m</t>
        </is>
      </c>
      <c r="G149" s="138">
        <f>'Inventario Detallado'!G152</f>
        <v/>
      </c>
      <c r="H149" s="139" t="n">
        <v>3</v>
      </c>
      <c r="I149" s="139" t="n">
        <v>78</v>
      </c>
      <c r="J149" s="135" t="inlineStr">
        <is>
          <t>Disponible</t>
        </is>
      </c>
    </row>
    <row r="150">
      <c r="A150" s="135" t="inlineStr">
        <is>
          <t>L152</t>
        </is>
      </c>
      <c r="B150" s="136" t="inlineStr">
        <is>
          <t>Lote 152</t>
        </is>
      </c>
      <c r="C150" s="135" t="inlineStr">
        <is>
          <t>M15</t>
        </is>
      </c>
      <c r="D150" s="136" t="inlineStr">
        <is>
          <t>Lote Premium (Oasis)</t>
        </is>
      </c>
      <c r="E150" s="137">
        <f>'Inventario Detallado'!E153</f>
        <v/>
      </c>
      <c r="F150" s="135" t="inlineStr">
        <is>
          <t>12.57m x 19.41m</t>
        </is>
      </c>
      <c r="G150" s="138">
        <f>'Inventario Detallado'!G153</f>
        <v/>
      </c>
      <c r="H150" s="139" t="n">
        <v>3</v>
      </c>
      <c r="I150" s="139" t="n">
        <v>65</v>
      </c>
      <c r="J150" s="135" t="inlineStr">
        <is>
          <t>Disponible</t>
        </is>
      </c>
    </row>
    <row r="151">
      <c r="A151" s="135" t="inlineStr">
        <is>
          <t>L154</t>
        </is>
      </c>
      <c r="B151" s="136" t="inlineStr">
        <is>
          <t>Lote 154</t>
        </is>
      </c>
      <c r="C151" s="135" t="inlineStr">
        <is>
          <t>M15</t>
        </is>
      </c>
      <c r="D151" s="136" t="inlineStr">
        <is>
          <t>Lote Premium (Oasis)</t>
        </is>
      </c>
      <c r="E151" s="137">
        <f>'Inventario Detallado'!E155</f>
        <v/>
      </c>
      <c r="F151" s="135" t="inlineStr">
        <is>
          <t>12.57m x 19.47m</t>
        </is>
      </c>
      <c r="G151" s="138">
        <f>'Inventario Detallado'!G155</f>
        <v/>
      </c>
      <c r="H151" s="139" t="n">
        <v>3</v>
      </c>
      <c r="I151" s="139" t="n">
        <v>40</v>
      </c>
      <c r="J151" s="135" t="inlineStr">
        <is>
          <t>Disponible</t>
        </is>
      </c>
    </row>
    <row r="152">
      <c r="A152" s="135" t="inlineStr">
        <is>
          <t>L155</t>
        </is>
      </c>
      <c r="B152" s="136" t="inlineStr">
        <is>
          <t>Lote 155</t>
        </is>
      </c>
      <c r="C152" s="135" t="inlineStr">
        <is>
          <t>M15</t>
        </is>
      </c>
      <c r="D152" s="136" t="inlineStr">
        <is>
          <t>Lote Premium (Oasis)</t>
        </is>
      </c>
      <c r="E152" s="137">
        <f>'Inventario Detallado'!E156</f>
        <v/>
      </c>
      <c r="F152" s="135" t="inlineStr">
        <is>
          <t>12.57m x 19.55m</t>
        </is>
      </c>
      <c r="G152" s="138">
        <f>'Inventario Detallado'!G156</f>
        <v/>
      </c>
      <c r="H152" s="139" t="n">
        <v>4</v>
      </c>
      <c r="I152" s="139" t="n">
        <v>28</v>
      </c>
      <c r="J152" s="135" t="inlineStr">
        <is>
          <t>Disponible</t>
        </is>
      </c>
    </row>
    <row r="153">
      <c r="A153" s="135" t="inlineStr">
        <is>
          <t>L156</t>
        </is>
      </c>
      <c r="B153" s="136" t="inlineStr">
        <is>
          <t>Lote 156</t>
        </is>
      </c>
      <c r="C153" s="135" t="inlineStr">
        <is>
          <t>M15</t>
        </is>
      </c>
      <c r="D153" s="136" t="inlineStr">
        <is>
          <t>Lote Premium (Oasis)</t>
        </is>
      </c>
      <c r="E153" s="137">
        <f>'Inventario Detallado'!E157</f>
        <v/>
      </c>
      <c r="F153" s="135" t="inlineStr">
        <is>
          <t>12.57m x 19.64m</t>
        </is>
      </c>
      <c r="G153" s="138">
        <f>'Inventario Detallado'!G157</f>
        <v/>
      </c>
      <c r="H153" s="139" t="n">
        <v>5</v>
      </c>
      <c r="I153" s="139" t="n">
        <v>15</v>
      </c>
      <c r="J153" s="135" t="inlineStr">
        <is>
          <t>Disponible</t>
        </is>
      </c>
    </row>
    <row r="154">
      <c r="A154" s="135" t="inlineStr">
        <is>
          <t>L157</t>
        </is>
      </c>
      <c r="B154" s="136" t="inlineStr">
        <is>
          <t>Lote 157</t>
        </is>
      </c>
      <c r="C154" s="135" t="inlineStr">
        <is>
          <t>M16</t>
        </is>
      </c>
      <c r="D154" s="136" t="inlineStr">
        <is>
          <t>Lote Premium (Oasis)</t>
        </is>
      </c>
      <c r="E154" s="137">
        <f>'Inventario Detallado'!E158</f>
        <v/>
      </c>
      <c r="F154" s="135" t="inlineStr">
        <is>
          <t>12.20m x 18.93m</t>
        </is>
      </c>
      <c r="G154" s="138">
        <f>'Inventario Detallado'!G158</f>
        <v/>
      </c>
      <c r="H154" s="139" t="n">
        <v>11</v>
      </c>
      <c r="I154" s="139" t="n">
        <v>39</v>
      </c>
      <c r="J154" s="135" t="inlineStr">
        <is>
          <t>Disponible</t>
        </is>
      </c>
    </row>
    <row r="155">
      <c r="A155" s="135" t="inlineStr">
        <is>
          <t>L158</t>
        </is>
      </c>
      <c r="B155" s="136" t="inlineStr">
        <is>
          <t>Lote 158</t>
        </is>
      </c>
      <c r="C155" s="135" t="inlineStr">
        <is>
          <t>M16</t>
        </is>
      </c>
      <c r="D155" s="136" t="inlineStr">
        <is>
          <t>Lote Premium (Oasis)</t>
        </is>
      </c>
      <c r="E155" s="137">
        <f>'Inventario Detallado'!E159</f>
        <v/>
      </c>
      <c r="F155" s="135" t="inlineStr">
        <is>
          <t>12.20m x 18.91m</t>
        </is>
      </c>
      <c r="G155" s="138">
        <f>'Inventario Detallado'!G159</f>
        <v/>
      </c>
      <c r="H155" s="139" t="n">
        <v>11</v>
      </c>
      <c r="I155" s="139" t="n">
        <v>49</v>
      </c>
      <c r="J155" s="135" t="inlineStr">
        <is>
          <t>Disponible</t>
        </is>
      </c>
    </row>
    <row r="156">
      <c r="A156" s="135" t="inlineStr">
        <is>
          <t>L159</t>
        </is>
      </c>
      <c r="B156" s="136" t="inlineStr">
        <is>
          <t>Lote 159</t>
        </is>
      </c>
      <c r="C156" s="135" t="inlineStr">
        <is>
          <t>M16</t>
        </is>
      </c>
      <c r="D156" s="136" t="inlineStr">
        <is>
          <t>Lote Premium (Oasis)</t>
        </is>
      </c>
      <c r="E156" s="137">
        <f>'Inventario Detallado'!E160</f>
        <v/>
      </c>
      <c r="F156" s="135" t="inlineStr">
        <is>
          <t>12.20m x 18.90m</t>
        </is>
      </c>
      <c r="G156" s="138">
        <f>'Inventario Detallado'!G160</f>
        <v/>
      </c>
      <c r="H156" s="139" t="n">
        <v>10</v>
      </c>
      <c r="I156" s="139" t="n">
        <v>59</v>
      </c>
      <c r="J156" s="135" t="inlineStr">
        <is>
          <t>Disponible</t>
        </is>
      </c>
    </row>
    <row r="157">
      <c r="A157" s="135" t="inlineStr">
        <is>
          <t>L160</t>
        </is>
      </c>
      <c r="B157" s="136" t="inlineStr">
        <is>
          <t>Lote 160</t>
        </is>
      </c>
      <c r="C157" s="135" t="inlineStr">
        <is>
          <t>M16</t>
        </is>
      </c>
      <c r="D157" s="136" t="inlineStr">
        <is>
          <t>Lote Premium (Oasis)</t>
        </is>
      </c>
      <c r="E157" s="137">
        <f>'Inventario Detallado'!E161</f>
        <v/>
      </c>
      <c r="F157" s="135" t="inlineStr">
        <is>
          <t>12.22m x 18.93m</t>
        </is>
      </c>
      <c r="G157" s="138">
        <f>'Inventario Detallado'!G161</f>
        <v/>
      </c>
      <c r="H157" s="139" t="n">
        <v>10</v>
      </c>
      <c r="I157" s="139" t="n">
        <v>71</v>
      </c>
      <c r="J157" s="135" t="inlineStr">
        <is>
          <t>Disponible</t>
        </is>
      </c>
    </row>
    <row r="158">
      <c r="A158" s="135" t="inlineStr">
        <is>
          <t>L161</t>
        </is>
      </c>
      <c r="B158" s="136" t="inlineStr">
        <is>
          <t>Lote 161</t>
        </is>
      </c>
      <c r="C158" s="135" t="inlineStr">
        <is>
          <t>M16</t>
        </is>
      </c>
      <c r="D158" s="136" t="inlineStr">
        <is>
          <t>Lote Premium (Oasis)</t>
        </is>
      </c>
      <c r="E158" s="137">
        <f>'Inventario Detallado'!E162</f>
        <v/>
      </c>
      <c r="F158" s="135" t="inlineStr">
        <is>
          <t>12.22m x 18.98m</t>
        </is>
      </c>
      <c r="G158" s="138">
        <f>'Inventario Detallado'!G162</f>
        <v/>
      </c>
      <c r="H158" s="139" t="n">
        <v>11</v>
      </c>
      <c r="I158" s="139" t="n">
        <v>82</v>
      </c>
      <c r="J158" s="135" t="inlineStr">
        <is>
          <t>Disponible</t>
        </is>
      </c>
    </row>
    <row r="159">
      <c r="A159" s="135" t="inlineStr">
        <is>
          <t>L162</t>
        </is>
      </c>
      <c r="B159" s="136" t="inlineStr">
        <is>
          <t>Lote 162</t>
        </is>
      </c>
      <c r="C159" s="135" t="inlineStr">
        <is>
          <t>M16</t>
        </is>
      </c>
      <c r="D159" s="136" t="inlineStr">
        <is>
          <t>Lote Premium (Oasis)</t>
        </is>
      </c>
      <c r="E159" s="137">
        <f>'Inventario Detallado'!E163</f>
        <v/>
      </c>
      <c r="F159" s="135" t="inlineStr">
        <is>
          <t>12.22m x 19.05m</t>
        </is>
      </c>
      <c r="G159" s="138">
        <f>'Inventario Detallado'!G163</f>
        <v/>
      </c>
      <c r="H159" s="139" t="n">
        <v>11</v>
      </c>
      <c r="I159" s="139" t="n">
        <v>94</v>
      </c>
      <c r="J159" s="135" t="inlineStr">
        <is>
          <t>Disponible</t>
        </is>
      </c>
    </row>
    <row r="160">
      <c r="A160" s="135" t="inlineStr">
        <is>
          <t>L163</t>
        </is>
      </c>
      <c r="B160" s="136" t="inlineStr">
        <is>
          <t>Lote 163</t>
        </is>
      </c>
      <c r="C160" s="135" t="inlineStr">
        <is>
          <t>M16</t>
        </is>
      </c>
      <c r="D160" s="136" t="inlineStr">
        <is>
          <t>Lote Premium (Oasis)</t>
        </is>
      </c>
      <c r="E160" s="137">
        <f>'Inventario Detallado'!E164</f>
        <v/>
      </c>
      <c r="F160" s="135" t="inlineStr">
        <is>
          <t>12.22m x 19.15m</t>
        </is>
      </c>
      <c r="G160" s="138">
        <f>'Inventario Detallado'!G164</f>
        <v/>
      </c>
      <c r="H160" s="139" t="n">
        <v>12</v>
      </c>
      <c r="I160" s="139" t="n">
        <v>106</v>
      </c>
      <c r="J160" s="135" t="inlineStr">
        <is>
          <t>Disponible</t>
        </is>
      </c>
    </row>
    <row r="161">
      <c r="A161" s="135" t="inlineStr">
        <is>
          <t>L164</t>
        </is>
      </c>
      <c r="B161" s="136" t="inlineStr">
        <is>
          <t>Lote 164</t>
        </is>
      </c>
      <c r="C161" s="135" t="inlineStr">
        <is>
          <t>M17</t>
        </is>
      </c>
      <c r="D161" s="136" t="inlineStr">
        <is>
          <t>Lote Premium (Oasis)</t>
        </is>
      </c>
      <c r="E161" s="137">
        <f>'Inventario Detallado'!E165</f>
        <v/>
      </c>
      <c r="F161" s="135" t="inlineStr">
        <is>
          <t>12.10m x 19.29m</t>
        </is>
      </c>
      <c r="G161" s="138">
        <f>'Inventario Detallado'!G165</f>
        <v/>
      </c>
      <c r="H161" s="139" t="n">
        <v>13</v>
      </c>
      <c r="I161" s="139" t="n">
        <v>123</v>
      </c>
      <c r="J161" s="135" t="inlineStr">
        <is>
          <t>Disponible</t>
        </is>
      </c>
    </row>
    <row r="162">
      <c r="A162" s="135" t="inlineStr">
        <is>
          <t>L165</t>
        </is>
      </c>
      <c r="B162" s="136" t="inlineStr">
        <is>
          <t>Lote 165</t>
        </is>
      </c>
      <c r="C162" s="135" t="inlineStr">
        <is>
          <t>M17</t>
        </is>
      </c>
      <c r="D162" s="136" t="inlineStr">
        <is>
          <t>Lote Premium (Oasis)</t>
        </is>
      </c>
      <c r="E162" s="137">
        <f>'Inventario Detallado'!E166</f>
        <v/>
      </c>
      <c r="F162" s="135" t="inlineStr">
        <is>
          <t>12.10m x 19.34m</t>
        </is>
      </c>
      <c r="G162" s="138">
        <f>'Inventario Detallado'!G166</f>
        <v/>
      </c>
      <c r="H162" s="139" t="n">
        <v>14</v>
      </c>
      <c r="I162" s="139" t="n">
        <v>135</v>
      </c>
      <c r="J162" s="135" t="inlineStr">
        <is>
          <t>Disponible</t>
        </is>
      </c>
    </row>
    <row r="163">
      <c r="A163" s="135" t="inlineStr">
        <is>
          <t>L166</t>
        </is>
      </c>
      <c r="B163" s="136" t="inlineStr">
        <is>
          <t>Lote 166</t>
        </is>
      </c>
      <c r="C163" s="135" t="inlineStr">
        <is>
          <t>M17</t>
        </is>
      </c>
      <c r="D163" s="136" t="inlineStr">
        <is>
          <t>Lote Premium (Oasis)</t>
        </is>
      </c>
      <c r="E163" s="137">
        <f>'Inventario Detallado'!E167</f>
        <v/>
      </c>
      <c r="F163" s="135" t="inlineStr">
        <is>
          <t>12.10m x 19.37m</t>
        </is>
      </c>
      <c r="G163" s="138">
        <f>'Inventario Detallado'!G167</f>
        <v/>
      </c>
      <c r="H163" s="139" t="n">
        <v>14</v>
      </c>
      <c r="I163" s="139" t="n">
        <v>145</v>
      </c>
      <c r="J163" s="135" t="inlineStr">
        <is>
          <t>Disponible</t>
        </is>
      </c>
    </row>
    <row r="164">
      <c r="A164" s="135" t="inlineStr">
        <is>
          <t>L167</t>
        </is>
      </c>
      <c r="B164" s="136" t="inlineStr">
        <is>
          <t>Lote 167</t>
        </is>
      </c>
      <c r="C164" s="135" t="inlineStr">
        <is>
          <t>M17</t>
        </is>
      </c>
      <c r="D164" s="136" t="inlineStr">
        <is>
          <t>Lote Premium (Oasis)</t>
        </is>
      </c>
      <c r="E164" s="137">
        <f>'Inventario Detallado'!E168</f>
        <v/>
      </c>
      <c r="F164" s="135" t="inlineStr">
        <is>
          <t>12.10m x 19.39m</t>
        </is>
      </c>
      <c r="G164" s="138">
        <f>'Inventario Detallado'!G168</f>
        <v/>
      </c>
      <c r="H164" s="139" t="n">
        <v>14</v>
      </c>
      <c r="I164" s="139" t="n">
        <v>145</v>
      </c>
      <c r="J164" s="135" t="inlineStr">
        <is>
          <t>Disponible</t>
        </is>
      </c>
    </row>
    <row r="165">
      <c r="A165" s="135" t="inlineStr">
        <is>
          <t>L168</t>
        </is>
      </c>
      <c r="B165" s="136" t="inlineStr">
        <is>
          <t>Lote 168</t>
        </is>
      </c>
      <c r="C165" s="135" t="inlineStr">
        <is>
          <t>M17</t>
        </is>
      </c>
      <c r="D165" s="136" t="inlineStr">
        <is>
          <t>Lote Premium (Oasis)</t>
        </is>
      </c>
      <c r="E165" s="137">
        <f>'Inventario Detallado'!E169</f>
        <v/>
      </c>
      <c r="F165" s="135" t="inlineStr">
        <is>
          <t>12.10m x 19.42m</t>
        </is>
      </c>
      <c r="G165" s="138">
        <f>'Inventario Detallado'!G169</f>
        <v/>
      </c>
      <c r="H165" s="139" t="n">
        <v>14</v>
      </c>
      <c r="I165" s="139" t="n">
        <v>145</v>
      </c>
      <c r="J165" s="135" t="inlineStr">
        <is>
          <t>Disponible</t>
        </is>
      </c>
    </row>
    <row r="166">
      <c r="A166" s="135" t="inlineStr">
        <is>
          <t>L169</t>
        </is>
      </c>
      <c r="B166" s="136" t="inlineStr">
        <is>
          <t>Lote 169</t>
        </is>
      </c>
      <c r="C166" s="135" t="inlineStr">
        <is>
          <t>M17</t>
        </is>
      </c>
      <c r="D166" s="136" t="inlineStr">
        <is>
          <t>Lote Premium (Oasis)</t>
        </is>
      </c>
      <c r="E166" s="137">
        <f>'Inventario Detallado'!E170</f>
        <v/>
      </c>
      <c r="F166" s="135" t="inlineStr">
        <is>
          <t>12.10m x 19.45m</t>
        </is>
      </c>
      <c r="G166" s="138">
        <f>'Inventario Detallado'!G170</f>
        <v/>
      </c>
      <c r="H166" s="139" t="n">
        <v>14</v>
      </c>
      <c r="I166" s="139" t="n">
        <v>145</v>
      </c>
      <c r="J166" s="135" t="inlineStr">
        <is>
          <t>Disponible</t>
        </is>
      </c>
    </row>
    <row r="167">
      <c r="A167" s="135" t="inlineStr">
        <is>
          <t>L170</t>
        </is>
      </c>
      <c r="B167" s="136" t="inlineStr">
        <is>
          <t>Lote 170</t>
        </is>
      </c>
      <c r="C167" s="135" t="inlineStr">
        <is>
          <t>M17</t>
        </is>
      </c>
      <c r="D167" s="136" t="inlineStr">
        <is>
          <t>Lote Premium (Oasis)</t>
        </is>
      </c>
      <c r="E167" s="137">
        <f>'Inventario Detallado'!E171</f>
        <v/>
      </c>
      <c r="F167" s="135" t="inlineStr">
        <is>
          <t>12.10m x 19.47m</t>
        </is>
      </c>
      <c r="G167" s="138">
        <f>'Inventario Detallado'!G171</f>
        <v/>
      </c>
      <c r="H167" s="139" t="n">
        <v>14</v>
      </c>
      <c r="I167" s="139" t="n">
        <v>145</v>
      </c>
      <c r="J167" s="135" t="inlineStr">
        <is>
          <t>Disponible</t>
        </is>
      </c>
    </row>
    <row r="168">
      <c r="A168" s="135" t="inlineStr">
        <is>
          <t>L171</t>
        </is>
      </c>
      <c r="B168" s="136" t="inlineStr">
        <is>
          <t>Lote 171</t>
        </is>
      </c>
      <c r="C168" s="135" t="inlineStr">
        <is>
          <t>M17</t>
        </is>
      </c>
      <c r="D168" s="136" t="inlineStr">
        <is>
          <t>Lote Premium (Oasis)</t>
        </is>
      </c>
      <c r="E168" s="137">
        <f>'Inventario Detallado'!E172</f>
        <v/>
      </c>
      <c r="F168" s="135" t="inlineStr">
        <is>
          <t>12.10m x 19.50m</t>
        </is>
      </c>
      <c r="G168" s="138">
        <f>'Inventario Detallado'!G172</f>
        <v/>
      </c>
      <c r="H168" s="139" t="n">
        <v>14</v>
      </c>
      <c r="I168" s="139" t="n">
        <v>145</v>
      </c>
      <c r="J168" s="135" t="inlineStr">
        <is>
          <t>Disponible</t>
        </is>
      </c>
    </row>
    <row r="169">
      <c r="A169" s="135" t="inlineStr">
        <is>
          <t>L172</t>
        </is>
      </c>
      <c r="B169" s="136" t="inlineStr">
        <is>
          <t>Lote 172</t>
        </is>
      </c>
      <c r="C169" s="135" t="inlineStr">
        <is>
          <t>M17</t>
        </is>
      </c>
      <c r="D169" s="136" t="inlineStr">
        <is>
          <t>Lote Premium (Oasis)</t>
        </is>
      </c>
      <c r="E169" s="137">
        <f>'Inventario Detallado'!E173</f>
        <v/>
      </c>
      <c r="F169" s="135" t="inlineStr">
        <is>
          <t>12.10m x 19.52m</t>
        </is>
      </c>
      <c r="G169" s="138">
        <f>'Inventario Detallado'!G173</f>
        <v/>
      </c>
      <c r="H169" s="139" t="n">
        <v>14</v>
      </c>
      <c r="I169" s="139" t="n">
        <v>145</v>
      </c>
      <c r="J169" s="135" t="inlineStr">
        <is>
          <t>Disponible</t>
        </is>
      </c>
    </row>
    <row r="170">
      <c r="A170" s="135" t="inlineStr">
        <is>
          <t>L173</t>
        </is>
      </c>
      <c r="B170" s="136" t="inlineStr">
        <is>
          <t>Lote 173</t>
        </is>
      </c>
      <c r="C170" s="135" t="inlineStr">
        <is>
          <t>M17</t>
        </is>
      </c>
      <c r="D170" s="136" t="inlineStr">
        <is>
          <t>Lote Premium (Oasis)</t>
        </is>
      </c>
      <c r="E170" s="137">
        <f>'Inventario Detallado'!E174</f>
        <v/>
      </c>
      <c r="F170" s="135" t="inlineStr">
        <is>
          <t>12.10m x 19.55m</t>
        </is>
      </c>
      <c r="G170" s="138">
        <f>'Inventario Detallado'!G174</f>
        <v/>
      </c>
      <c r="H170" s="139" t="n">
        <v>14</v>
      </c>
      <c r="I170" s="139" t="n">
        <v>133</v>
      </c>
      <c r="J170" s="135" t="inlineStr">
        <is>
          <t>Disponible</t>
        </is>
      </c>
    </row>
    <row r="171">
      <c r="A171" s="135" t="inlineStr">
        <is>
          <t>L174</t>
        </is>
      </c>
      <c r="B171" s="136" t="inlineStr">
        <is>
          <t>Lote 174</t>
        </is>
      </c>
      <c r="C171" s="135" t="inlineStr">
        <is>
          <t>M18</t>
        </is>
      </c>
      <c r="D171" s="136" t="inlineStr">
        <is>
          <t>Lote Premium (Oasis)</t>
        </is>
      </c>
      <c r="E171" s="137">
        <f>'Inventario Detallado'!E175</f>
        <v/>
      </c>
      <c r="F171" s="135" t="inlineStr">
        <is>
          <t>12.57m x 19.55m</t>
        </is>
      </c>
      <c r="G171" s="138">
        <f>'Inventario Detallado'!G175</f>
        <v/>
      </c>
      <c r="H171" s="139" t="n">
        <v>14</v>
      </c>
      <c r="I171" s="139" t="n">
        <v>116</v>
      </c>
      <c r="J171" s="135" t="inlineStr">
        <is>
          <t>Disponible</t>
        </is>
      </c>
    </row>
    <row r="172">
      <c r="A172" s="135" t="inlineStr">
        <is>
          <t>L175</t>
        </is>
      </c>
      <c r="B172" s="136" t="inlineStr">
        <is>
          <t>Lote 175</t>
        </is>
      </c>
      <c r="C172" s="135" t="inlineStr">
        <is>
          <t>M18</t>
        </is>
      </c>
      <c r="D172" s="136" t="inlineStr">
        <is>
          <t>Lote Premium (Oasis)</t>
        </is>
      </c>
      <c r="E172" s="137">
        <f>'Inventario Detallado'!E176</f>
        <v/>
      </c>
      <c r="F172" s="135" t="inlineStr">
        <is>
          <t>12.57m x 19.51m</t>
        </is>
      </c>
      <c r="G172" s="138">
        <f>'Inventario Detallado'!G176</f>
        <v/>
      </c>
      <c r="H172" s="139" t="n">
        <v>13</v>
      </c>
      <c r="I172" s="139" t="n">
        <v>103</v>
      </c>
      <c r="J172" s="135" t="inlineStr">
        <is>
          <t>Disponible</t>
        </is>
      </c>
    </row>
    <row r="173">
      <c r="A173" s="135" t="inlineStr">
        <is>
          <t>L176</t>
        </is>
      </c>
      <c r="B173" s="136" t="inlineStr">
        <is>
          <t>Lote 176</t>
        </is>
      </c>
      <c r="C173" s="135" t="inlineStr">
        <is>
          <t>M18</t>
        </is>
      </c>
      <c r="D173" s="136" t="inlineStr">
        <is>
          <t>Lote Premium (Oasis)</t>
        </is>
      </c>
      <c r="E173" s="137">
        <f>'Inventario Detallado'!E177</f>
        <v/>
      </c>
      <c r="F173" s="135" t="inlineStr">
        <is>
          <t>12.57m x 19.45m</t>
        </is>
      </c>
      <c r="G173" s="138">
        <f>'Inventario Detallado'!G177</f>
        <v/>
      </c>
      <c r="H173" s="139" t="n">
        <v>12</v>
      </c>
      <c r="I173" s="139" t="n">
        <v>91</v>
      </c>
      <c r="J173" s="135" t="inlineStr">
        <is>
          <t>Disponible</t>
        </is>
      </c>
    </row>
    <row r="174">
      <c r="A174" s="135" t="inlineStr">
        <is>
          <t>L177</t>
        </is>
      </c>
      <c r="B174" s="136" t="inlineStr">
        <is>
          <t>Lote 177</t>
        </is>
      </c>
      <c r="C174" s="135" t="inlineStr">
        <is>
          <t>M18</t>
        </is>
      </c>
      <c r="D174" s="136" t="inlineStr">
        <is>
          <t>Lote Premium (Oasis)</t>
        </is>
      </c>
      <c r="E174" s="137">
        <f>'Inventario Detallado'!E178</f>
        <v/>
      </c>
      <c r="F174" s="135" t="inlineStr">
        <is>
          <t>12.57m x 19.42m</t>
        </is>
      </c>
      <c r="G174" s="138">
        <f>'Inventario Detallado'!G178</f>
        <v/>
      </c>
      <c r="H174" s="139" t="n">
        <v>11</v>
      </c>
      <c r="I174" s="139" t="n">
        <v>78</v>
      </c>
      <c r="J174" s="135" t="inlineStr">
        <is>
          <t>Disponible</t>
        </is>
      </c>
    </row>
    <row r="175">
      <c r="A175" s="135" t="inlineStr">
        <is>
          <t>L178</t>
        </is>
      </c>
      <c r="B175" s="136" t="inlineStr">
        <is>
          <t>Lote 178</t>
        </is>
      </c>
      <c r="C175" s="135" t="inlineStr">
        <is>
          <t>M18</t>
        </is>
      </c>
      <c r="D175" s="136" t="inlineStr">
        <is>
          <t>Lote Premium (Oasis)</t>
        </is>
      </c>
      <c r="E175" s="137">
        <f>'Inventario Detallado'!E179</f>
        <v/>
      </c>
      <c r="F175" s="135" t="inlineStr">
        <is>
          <t>12.58m x 19.41m</t>
        </is>
      </c>
      <c r="G175" s="138">
        <f>'Inventario Detallado'!G179</f>
        <v/>
      </c>
      <c r="H175" s="139" t="n">
        <v>11</v>
      </c>
      <c r="I175" s="139" t="n">
        <v>65</v>
      </c>
      <c r="J175" s="135" t="inlineStr">
        <is>
          <t>Disponible</t>
        </is>
      </c>
    </row>
    <row r="176">
      <c r="A176" s="135" t="inlineStr">
        <is>
          <t>L179</t>
        </is>
      </c>
      <c r="B176" s="136" t="inlineStr">
        <is>
          <t>Lote 179</t>
        </is>
      </c>
      <c r="C176" s="135" t="inlineStr">
        <is>
          <t>M18</t>
        </is>
      </c>
      <c r="D176" s="136" t="inlineStr">
        <is>
          <t>Lote Premium (Oasis)</t>
        </is>
      </c>
      <c r="E176" s="137">
        <f>'Inventario Detallado'!E180</f>
        <v/>
      </c>
      <c r="F176" s="135" t="inlineStr">
        <is>
          <t>12.58m x 19.43m</t>
        </is>
      </c>
      <c r="G176" s="138">
        <f>'Inventario Detallado'!G180</f>
        <v/>
      </c>
      <c r="H176" s="139" t="n">
        <v>11</v>
      </c>
      <c r="I176" s="139" t="n">
        <v>53</v>
      </c>
      <c r="J176" s="135" t="inlineStr">
        <is>
          <t>Disponible</t>
        </is>
      </c>
    </row>
    <row r="177">
      <c r="A177" s="135" t="inlineStr">
        <is>
          <t>L180</t>
        </is>
      </c>
      <c r="B177" s="136" t="inlineStr">
        <is>
          <t>Lote 180</t>
        </is>
      </c>
      <c r="C177" s="135" t="inlineStr">
        <is>
          <t>M18</t>
        </is>
      </c>
      <c r="D177" s="136" t="inlineStr">
        <is>
          <t>Lote Premium (Oasis)</t>
        </is>
      </c>
      <c r="E177" s="137">
        <f>'Inventario Detallado'!E181</f>
        <v/>
      </c>
      <c r="F177" s="135" t="inlineStr">
        <is>
          <t>12.58m x 19.47m</t>
        </is>
      </c>
      <c r="G177" s="138">
        <f>'Inventario Detallado'!G181</f>
        <v/>
      </c>
      <c r="H177" s="139" t="n">
        <v>11</v>
      </c>
      <c r="I177" s="139" t="n">
        <v>40</v>
      </c>
      <c r="J177" s="135" t="inlineStr">
        <is>
          <t>Disponible</t>
        </is>
      </c>
    </row>
    <row r="178">
      <c r="A178" s="135" t="inlineStr">
        <is>
          <t>L181</t>
        </is>
      </c>
      <c r="B178" s="136" t="inlineStr">
        <is>
          <t>Lote 181</t>
        </is>
      </c>
      <c r="C178" s="135" t="inlineStr">
        <is>
          <t>M18</t>
        </is>
      </c>
      <c r="D178" s="136" t="inlineStr">
        <is>
          <t>Lote Premium (Oasis)</t>
        </is>
      </c>
      <c r="E178" s="137">
        <f>'Inventario Detallado'!E182</f>
        <v/>
      </c>
      <c r="F178" s="135" t="inlineStr">
        <is>
          <t>12.58m x 19.55m</t>
        </is>
      </c>
      <c r="G178" s="138">
        <f>'Inventario Detallado'!G182</f>
        <v/>
      </c>
      <c r="H178" s="139" t="n">
        <v>11</v>
      </c>
      <c r="I178" s="139" t="n">
        <v>28</v>
      </c>
      <c r="J178" s="135" t="inlineStr">
        <is>
          <t>Disponible</t>
        </is>
      </c>
    </row>
    <row r="179">
      <c r="A179" s="135" t="inlineStr">
        <is>
          <t>L182</t>
        </is>
      </c>
      <c r="B179" s="136" t="inlineStr">
        <is>
          <t>Lote 182</t>
        </is>
      </c>
      <c r="C179" s="135" t="inlineStr">
        <is>
          <t>M18</t>
        </is>
      </c>
      <c r="D179" s="136" t="inlineStr">
        <is>
          <t>Lote Premium (Oasis)</t>
        </is>
      </c>
      <c r="E179" s="137">
        <f>'Inventario Detallado'!E183</f>
        <v/>
      </c>
      <c r="F179" s="135" t="inlineStr">
        <is>
          <t>12.58m x 19.64m</t>
        </is>
      </c>
      <c r="G179" s="138">
        <f>'Inventario Detallado'!G183</f>
        <v/>
      </c>
      <c r="H179" s="139" t="n">
        <v>12</v>
      </c>
      <c r="I179" s="139" t="n">
        <v>15</v>
      </c>
      <c r="J179" s="135" t="inlineStr">
        <is>
          <t>Disponible</t>
        </is>
      </c>
    </row>
    <row r="180">
      <c r="A180" s="135" t="inlineStr">
        <is>
          <t>L183</t>
        </is>
      </c>
      <c r="B180" s="136" t="inlineStr">
        <is>
          <t>Lote 183</t>
        </is>
      </c>
      <c r="C180" s="135" t="inlineStr">
        <is>
          <t>M19</t>
        </is>
      </c>
      <c r="D180" s="136" t="inlineStr">
        <is>
          <t>Lote Estándar</t>
        </is>
      </c>
      <c r="E180" s="137">
        <f>'Inventario Detallado'!E184</f>
        <v/>
      </c>
      <c r="F180" s="135" t="inlineStr">
        <is>
          <t>12.20m x 18.93m</t>
        </is>
      </c>
      <c r="G180" s="138">
        <f>'Inventario Detallado'!G184</f>
        <v/>
      </c>
      <c r="H180" s="139" t="n">
        <v>38</v>
      </c>
      <c r="I180" s="139" t="n">
        <v>26</v>
      </c>
      <c r="J180" s="135" t="inlineStr">
        <is>
          <t>Disponible</t>
        </is>
      </c>
    </row>
    <row r="181">
      <c r="A181" s="135" t="inlineStr">
        <is>
          <t>L184</t>
        </is>
      </c>
      <c r="B181" s="136" t="inlineStr">
        <is>
          <t>Lote 184</t>
        </is>
      </c>
      <c r="C181" s="135" t="inlineStr">
        <is>
          <t>M19</t>
        </is>
      </c>
      <c r="D181" s="136" t="inlineStr">
        <is>
          <t>Lote Estándar</t>
        </is>
      </c>
      <c r="E181" s="137">
        <f>'Inventario Detallado'!E185</f>
        <v/>
      </c>
      <c r="F181" s="135" t="inlineStr">
        <is>
          <t>12.20m x 18.91m</t>
        </is>
      </c>
      <c r="G181" s="138">
        <f>'Inventario Detallado'!G185</f>
        <v/>
      </c>
      <c r="H181" s="139" t="n">
        <v>38</v>
      </c>
      <c r="I181" s="139" t="n">
        <v>38</v>
      </c>
      <c r="J181" s="135" t="inlineStr">
        <is>
          <t>Disponible</t>
        </is>
      </c>
    </row>
    <row r="182">
      <c r="A182" s="135" t="inlineStr">
        <is>
          <t>L185</t>
        </is>
      </c>
      <c r="B182" s="136" t="inlineStr">
        <is>
          <t>Lote 185</t>
        </is>
      </c>
      <c r="C182" s="135" t="inlineStr">
        <is>
          <t>M19</t>
        </is>
      </c>
      <c r="D182" s="136" t="inlineStr">
        <is>
          <t>Lote Estándar</t>
        </is>
      </c>
      <c r="E182" s="137">
        <f>'Inventario Detallado'!E186</f>
        <v/>
      </c>
      <c r="F182" s="135" t="inlineStr">
        <is>
          <t>12.20m x 18.90m</t>
        </is>
      </c>
      <c r="G182" s="138">
        <f>'Inventario Detallado'!G186</f>
        <v/>
      </c>
      <c r="H182" s="139" t="n">
        <v>37</v>
      </c>
      <c r="I182" s="139" t="n">
        <v>50</v>
      </c>
      <c r="J182" s="135" t="inlineStr">
        <is>
          <t>Disponible</t>
        </is>
      </c>
    </row>
    <row r="183">
      <c r="A183" s="135" t="inlineStr">
        <is>
          <t>L186</t>
        </is>
      </c>
      <c r="B183" s="136" t="inlineStr">
        <is>
          <t>Lote 186</t>
        </is>
      </c>
      <c r="C183" s="135" t="inlineStr">
        <is>
          <t>M19</t>
        </is>
      </c>
      <c r="D183" s="136" t="inlineStr">
        <is>
          <t>Lote Estándar</t>
        </is>
      </c>
      <c r="E183" s="137">
        <f>'Inventario Detallado'!E187</f>
        <v/>
      </c>
      <c r="F183" s="135" t="inlineStr">
        <is>
          <t>12.23m x 18.93m</t>
        </is>
      </c>
      <c r="G183" s="138">
        <f>'Inventario Detallado'!G187</f>
        <v/>
      </c>
      <c r="H183" s="139" t="n">
        <v>37</v>
      </c>
      <c r="I183" s="139" t="n">
        <v>63</v>
      </c>
      <c r="J183" s="135" t="inlineStr">
        <is>
          <t>Disponible</t>
        </is>
      </c>
    </row>
    <row r="184">
      <c r="A184" s="135" t="inlineStr">
        <is>
          <t>L187</t>
        </is>
      </c>
      <c r="B184" s="136" t="inlineStr">
        <is>
          <t>Lote 187</t>
        </is>
      </c>
      <c r="C184" s="135" t="inlineStr">
        <is>
          <t>M19</t>
        </is>
      </c>
      <c r="D184" s="136" t="inlineStr">
        <is>
          <t>Lote Estándar</t>
        </is>
      </c>
      <c r="E184" s="137">
        <f>'Inventario Detallado'!E188</f>
        <v/>
      </c>
      <c r="F184" s="135" t="inlineStr">
        <is>
          <t>12.23m x 18.98m</t>
        </is>
      </c>
      <c r="G184" s="138">
        <f>'Inventario Detallado'!G188</f>
        <v/>
      </c>
      <c r="H184" s="139" t="n">
        <v>37</v>
      </c>
      <c r="I184" s="139" t="n">
        <v>75</v>
      </c>
      <c r="J184" s="135" t="inlineStr">
        <is>
          <t>Disponible</t>
        </is>
      </c>
    </row>
    <row r="185">
      <c r="A185" s="135" t="inlineStr">
        <is>
          <t>L188</t>
        </is>
      </c>
      <c r="B185" s="136" t="inlineStr">
        <is>
          <t>Lote 188</t>
        </is>
      </c>
      <c r="C185" s="135" t="inlineStr">
        <is>
          <t>M19</t>
        </is>
      </c>
      <c r="D185" s="136" t="inlineStr">
        <is>
          <t>Lote Estándar</t>
        </is>
      </c>
      <c r="E185" s="137">
        <f>'Inventario Detallado'!E189</f>
        <v/>
      </c>
      <c r="F185" s="135" t="inlineStr">
        <is>
          <t>12.23m x 19.05m</t>
        </is>
      </c>
      <c r="G185" s="138">
        <f>'Inventario Detallado'!G189</f>
        <v/>
      </c>
      <c r="H185" s="139" t="n">
        <v>38</v>
      </c>
      <c r="I185" s="139" t="n">
        <v>87</v>
      </c>
      <c r="J185" s="135" t="inlineStr">
        <is>
          <t>Disponible</t>
        </is>
      </c>
    </row>
    <row r="186">
      <c r="A186" s="135" t="inlineStr">
        <is>
          <t>L189</t>
        </is>
      </c>
      <c r="B186" s="136" t="inlineStr">
        <is>
          <t>Lote 189</t>
        </is>
      </c>
      <c r="C186" s="135" t="inlineStr">
        <is>
          <t>M19</t>
        </is>
      </c>
      <c r="D186" s="136" t="inlineStr">
        <is>
          <t>Lote Estándar</t>
        </is>
      </c>
      <c r="E186" s="137">
        <f>'Inventario Detallado'!E190</f>
        <v/>
      </c>
      <c r="F186" s="135" t="inlineStr">
        <is>
          <t>12.22m x 19.15m</t>
        </is>
      </c>
      <c r="G186" s="138">
        <f>'Inventario Detallado'!G190</f>
        <v/>
      </c>
      <c r="H186" s="139" t="n">
        <v>38</v>
      </c>
      <c r="I186" s="139" t="n">
        <v>99</v>
      </c>
      <c r="J186" s="135" t="inlineStr">
        <is>
          <t>Disponible</t>
        </is>
      </c>
    </row>
    <row r="187">
      <c r="A187" s="135" t="inlineStr">
        <is>
          <t>L190</t>
        </is>
      </c>
      <c r="B187" s="136" t="inlineStr">
        <is>
          <t>Lote 190</t>
        </is>
      </c>
      <c r="C187" s="135" t="inlineStr">
        <is>
          <t>M20</t>
        </is>
      </c>
      <c r="D187" s="136" t="inlineStr">
        <is>
          <t>Lote Zen</t>
        </is>
      </c>
      <c r="E187" s="137">
        <f>'Inventario Detallado'!E191</f>
        <v/>
      </c>
      <c r="F187" s="135" t="inlineStr">
        <is>
          <t>12.11m x 19.29m</t>
        </is>
      </c>
      <c r="G187" s="138">
        <f>'Inventario Detallado'!G191</f>
        <v/>
      </c>
      <c r="H187" s="139" t="n">
        <v>40</v>
      </c>
      <c r="I187" s="139" t="n">
        <v>117</v>
      </c>
      <c r="J187" s="135" t="inlineStr">
        <is>
          <t>Disponible</t>
        </is>
      </c>
    </row>
    <row r="188">
      <c r="A188" s="135" t="inlineStr">
        <is>
          <t>L191</t>
        </is>
      </c>
      <c r="B188" s="136" t="inlineStr">
        <is>
          <t>Lote 191</t>
        </is>
      </c>
      <c r="C188" s="135" t="inlineStr">
        <is>
          <t>M20</t>
        </is>
      </c>
      <c r="D188" s="136" t="inlineStr">
        <is>
          <t>Lote Zen</t>
        </is>
      </c>
      <c r="E188" s="137">
        <f>'Inventario Detallado'!E192</f>
        <v/>
      </c>
      <c r="F188" s="135" t="inlineStr">
        <is>
          <t>12.11m x 19.34m</t>
        </is>
      </c>
      <c r="G188" s="138">
        <f>'Inventario Detallado'!G192</f>
        <v/>
      </c>
      <c r="H188" s="139" t="n">
        <v>41</v>
      </c>
      <c r="I188" s="139" t="n">
        <v>129</v>
      </c>
      <c r="J188" s="135" t="inlineStr">
        <is>
          <t>Disponible</t>
        </is>
      </c>
    </row>
    <row r="189">
      <c r="A189" s="135" t="inlineStr">
        <is>
          <t>L192</t>
        </is>
      </c>
      <c r="B189" s="136" t="inlineStr">
        <is>
          <t>Lote 192</t>
        </is>
      </c>
      <c r="C189" s="135" t="inlineStr">
        <is>
          <t>M20</t>
        </is>
      </c>
      <c r="D189" s="136" t="inlineStr">
        <is>
          <t>Lote Zen</t>
        </is>
      </c>
      <c r="E189" s="137">
        <f>'Inventario Detallado'!E193</f>
        <v/>
      </c>
      <c r="F189" s="135" t="inlineStr">
        <is>
          <t>12.11m x 19.37m</t>
        </is>
      </c>
      <c r="G189" s="138">
        <f>'Inventario Detallado'!G193</f>
        <v/>
      </c>
      <c r="H189" s="139" t="n">
        <v>41</v>
      </c>
      <c r="I189" s="139" t="n">
        <v>141</v>
      </c>
      <c r="J189" s="135" t="inlineStr">
        <is>
          <t>Disponible</t>
        </is>
      </c>
    </row>
    <row r="190">
      <c r="A190" s="135" t="inlineStr">
        <is>
          <t>L193</t>
        </is>
      </c>
      <c r="B190" s="136" t="inlineStr">
        <is>
          <t>Lote 193</t>
        </is>
      </c>
      <c r="C190" s="135" t="inlineStr">
        <is>
          <t>M20</t>
        </is>
      </c>
      <c r="D190" s="136" t="inlineStr">
        <is>
          <t>Lote Zen</t>
        </is>
      </c>
      <c r="E190" s="137">
        <f>'Inventario Detallado'!E194</f>
        <v/>
      </c>
      <c r="F190" s="135" t="inlineStr">
        <is>
          <t>12.11m x 19.39m</t>
        </is>
      </c>
      <c r="G190" s="138">
        <f>'Inventario Detallado'!G194</f>
        <v/>
      </c>
      <c r="H190" s="139" t="n">
        <v>41</v>
      </c>
      <c r="I190" s="139" t="n">
        <v>145</v>
      </c>
      <c r="J190" s="135" t="inlineStr">
        <is>
          <t>Disponible</t>
        </is>
      </c>
    </row>
    <row r="191">
      <c r="A191" s="135" t="inlineStr">
        <is>
          <t>L194</t>
        </is>
      </c>
      <c r="B191" s="136" t="inlineStr">
        <is>
          <t>Lote 194</t>
        </is>
      </c>
      <c r="C191" s="135" t="inlineStr">
        <is>
          <t>M20</t>
        </is>
      </c>
      <c r="D191" s="136" t="inlineStr">
        <is>
          <t>Lote Zen</t>
        </is>
      </c>
      <c r="E191" s="137">
        <f>'Inventario Detallado'!E195</f>
        <v/>
      </c>
      <c r="F191" s="135" t="inlineStr">
        <is>
          <t>12.11m x 19.42m</t>
        </is>
      </c>
      <c r="G191" s="138">
        <f>'Inventario Detallado'!G195</f>
        <v/>
      </c>
      <c r="H191" s="139" t="n">
        <v>41</v>
      </c>
      <c r="I191" s="139" t="n">
        <v>145</v>
      </c>
      <c r="J191" s="135" t="inlineStr">
        <is>
          <t>Disponible</t>
        </is>
      </c>
    </row>
    <row r="192">
      <c r="A192" s="135" t="inlineStr">
        <is>
          <t>L195</t>
        </is>
      </c>
      <c r="B192" s="136" t="inlineStr">
        <is>
          <t>Lote 195</t>
        </is>
      </c>
      <c r="C192" s="135" t="inlineStr">
        <is>
          <t>M20</t>
        </is>
      </c>
      <c r="D192" s="136" t="inlineStr">
        <is>
          <t>Lote Zen</t>
        </is>
      </c>
      <c r="E192" s="137">
        <f>'Inventario Detallado'!E196</f>
        <v/>
      </c>
      <c r="F192" s="135" t="inlineStr">
        <is>
          <t>12.11m x 19.45m</t>
        </is>
      </c>
      <c r="G192" s="138">
        <f>'Inventario Detallado'!G196</f>
        <v/>
      </c>
      <c r="H192" s="139" t="n">
        <v>41</v>
      </c>
      <c r="I192" s="139" t="n">
        <v>145</v>
      </c>
      <c r="J192" s="135" t="inlineStr">
        <is>
          <t>Disponible</t>
        </is>
      </c>
    </row>
    <row r="193">
      <c r="A193" s="135" t="inlineStr">
        <is>
          <t>L196</t>
        </is>
      </c>
      <c r="B193" s="136" t="inlineStr">
        <is>
          <t>Lote 196</t>
        </is>
      </c>
      <c r="C193" s="135" t="inlineStr">
        <is>
          <t>M20</t>
        </is>
      </c>
      <c r="D193" s="136" t="inlineStr">
        <is>
          <t>Lote Zen</t>
        </is>
      </c>
      <c r="E193" s="137">
        <f>'Inventario Detallado'!E197</f>
        <v/>
      </c>
      <c r="F193" s="135" t="inlineStr">
        <is>
          <t>12.11m x 19.47m</t>
        </is>
      </c>
      <c r="G193" s="138">
        <f>'Inventario Detallado'!G197</f>
        <v/>
      </c>
      <c r="H193" s="139" t="n">
        <v>41</v>
      </c>
      <c r="I193" s="139" t="n">
        <v>145</v>
      </c>
      <c r="J193" s="135" t="inlineStr">
        <is>
          <t>Disponible</t>
        </is>
      </c>
    </row>
    <row r="194">
      <c r="A194" s="135" t="inlineStr">
        <is>
          <t>L197</t>
        </is>
      </c>
      <c r="B194" s="136" t="inlineStr">
        <is>
          <t>Lote 197</t>
        </is>
      </c>
      <c r="C194" s="135" t="inlineStr">
        <is>
          <t>M20</t>
        </is>
      </c>
      <c r="D194" s="136" t="inlineStr">
        <is>
          <t>Lote Zen</t>
        </is>
      </c>
      <c r="E194" s="137">
        <f>'Inventario Detallado'!E198</f>
        <v/>
      </c>
      <c r="F194" s="135" t="inlineStr">
        <is>
          <t>12.11m x 19.50m</t>
        </is>
      </c>
      <c r="G194" s="138">
        <f>'Inventario Detallado'!G198</f>
        <v/>
      </c>
      <c r="H194" s="139" t="n">
        <v>41</v>
      </c>
      <c r="I194" s="139" t="n">
        <v>145</v>
      </c>
      <c r="J194" s="135" t="inlineStr">
        <is>
          <t>Disponible</t>
        </is>
      </c>
    </row>
    <row r="195">
      <c r="A195" s="135" t="inlineStr">
        <is>
          <t>L198</t>
        </is>
      </c>
      <c r="B195" s="136" t="inlineStr">
        <is>
          <t>Lote 198</t>
        </is>
      </c>
      <c r="C195" s="135" t="inlineStr">
        <is>
          <t>M20</t>
        </is>
      </c>
      <c r="D195" s="136" t="inlineStr">
        <is>
          <t>Lote Zen</t>
        </is>
      </c>
      <c r="E195" s="137">
        <f>'Inventario Detallado'!E199</f>
        <v/>
      </c>
      <c r="F195" s="135" t="inlineStr">
        <is>
          <t>12.11m x 19.52m</t>
        </is>
      </c>
      <c r="G195" s="138">
        <f>'Inventario Detallado'!G199</f>
        <v/>
      </c>
      <c r="H195" s="139" t="n">
        <v>41</v>
      </c>
      <c r="I195" s="139" t="n">
        <v>145</v>
      </c>
      <c r="J195" s="135" t="inlineStr">
        <is>
          <t>Disponible</t>
        </is>
      </c>
    </row>
    <row r="196">
      <c r="A196" s="135" t="inlineStr">
        <is>
          <t>L199</t>
        </is>
      </c>
      <c r="B196" s="136" t="inlineStr">
        <is>
          <t>Lote 199</t>
        </is>
      </c>
      <c r="C196" s="135" t="inlineStr">
        <is>
          <t>M20</t>
        </is>
      </c>
      <c r="D196" s="136" t="inlineStr">
        <is>
          <t>Lote Zen</t>
        </is>
      </c>
      <c r="E196" s="137">
        <f>'Inventario Detallado'!E200</f>
        <v/>
      </c>
      <c r="F196" s="135" t="inlineStr">
        <is>
          <t>12.11m x 19.55m</t>
        </is>
      </c>
      <c r="G196" s="138">
        <f>'Inventario Detallado'!G200</f>
        <v/>
      </c>
      <c r="H196" s="139" t="n">
        <v>41</v>
      </c>
      <c r="I196" s="139" t="n">
        <v>134</v>
      </c>
      <c r="J196" s="135" t="inlineStr">
        <is>
          <t>Disponible</t>
        </is>
      </c>
    </row>
    <row r="197">
      <c r="A197" s="135" t="inlineStr">
        <is>
          <t>L200</t>
        </is>
      </c>
      <c r="B197" s="136" t="inlineStr">
        <is>
          <t>Lote 200</t>
        </is>
      </c>
      <c r="C197" s="135" t="inlineStr">
        <is>
          <t>M21</t>
        </is>
      </c>
      <c r="D197" s="136" t="inlineStr">
        <is>
          <t>Lote Estándar</t>
        </is>
      </c>
      <c r="E197" s="137">
        <f>'Inventario Detallado'!E201</f>
        <v/>
      </c>
      <c r="F197" s="135" t="inlineStr">
        <is>
          <t>12.57m x 19.55m</t>
        </is>
      </c>
      <c r="G197" s="138">
        <f>'Inventario Detallado'!G201</f>
        <v/>
      </c>
      <c r="H197" s="139" t="n">
        <v>42</v>
      </c>
      <c r="I197" s="139" t="n">
        <v>116</v>
      </c>
      <c r="J197" s="135" t="inlineStr">
        <is>
          <t>Disponible</t>
        </is>
      </c>
    </row>
    <row r="198">
      <c r="A198" s="135" t="inlineStr">
        <is>
          <t>L201</t>
        </is>
      </c>
      <c r="B198" s="136" t="inlineStr">
        <is>
          <t>Lote 201</t>
        </is>
      </c>
      <c r="C198" s="135" t="inlineStr">
        <is>
          <t>M21</t>
        </is>
      </c>
      <c r="D198" s="136" t="inlineStr">
        <is>
          <t>Lote Estándar</t>
        </is>
      </c>
      <c r="E198" s="137">
        <f>'Inventario Detallado'!E202</f>
        <v/>
      </c>
      <c r="F198" s="135" t="inlineStr">
        <is>
          <t>12.57m x 19.51m</t>
        </is>
      </c>
      <c r="G198" s="138">
        <f>'Inventario Detallado'!G202</f>
        <v/>
      </c>
      <c r="H198" s="139" t="n">
        <v>41</v>
      </c>
      <c r="I198" s="139" t="n">
        <v>104</v>
      </c>
      <c r="J198" s="135" t="inlineStr">
        <is>
          <t>Disponible</t>
        </is>
      </c>
    </row>
    <row r="199">
      <c r="A199" s="135" t="inlineStr">
        <is>
          <t>L202</t>
        </is>
      </c>
      <c r="B199" s="136" t="inlineStr">
        <is>
          <t>Lote 202</t>
        </is>
      </c>
      <c r="C199" s="135" t="inlineStr">
        <is>
          <t>M21</t>
        </is>
      </c>
      <c r="D199" s="136" t="inlineStr">
        <is>
          <t>Lote Estándar</t>
        </is>
      </c>
      <c r="E199" s="137">
        <f>'Inventario Detallado'!E203</f>
        <v/>
      </c>
      <c r="F199" s="135" t="inlineStr">
        <is>
          <t>12.57m x 19.45m</t>
        </is>
      </c>
      <c r="G199" s="138">
        <f>'Inventario Detallado'!G203</f>
        <v/>
      </c>
      <c r="H199" s="139" t="n">
        <v>40</v>
      </c>
      <c r="I199" s="139" t="n">
        <v>91</v>
      </c>
      <c r="J199" s="135" t="inlineStr">
        <is>
          <t>Disponible</t>
        </is>
      </c>
    </row>
    <row r="200">
      <c r="A200" s="135" t="inlineStr">
        <is>
          <t>L203</t>
        </is>
      </c>
      <c r="B200" s="136" t="inlineStr">
        <is>
          <t>Lote 203</t>
        </is>
      </c>
      <c r="C200" s="135" t="inlineStr">
        <is>
          <t>M21</t>
        </is>
      </c>
      <c r="D200" s="136" t="inlineStr">
        <is>
          <t>Lote Estándar</t>
        </is>
      </c>
      <c r="E200" s="137">
        <f>'Inventario Detallado'!E204</f>
        <v/>
      </c>
      <c r="F200" s="135" t="inlineStr">
        <is>
          <t>12.57m x 19.42m</t>
        </is>
      </c>
      <c r="G200" s="138">
        <f>'Inventario Detallado'!G204</f>
        <v/>
      </c>
      <c r="H200" s="139" t="n">
        <v>39</v>
      </c>
      <c r="I200" s="139" t="n">
        <v>78</v>
      </c>
      <c r="J200" s="135" t="inlineStr">
        <is>
          <t>Disponible</t>
        </is>
      </c>
    </row>
    <row r="201">
      <c r="A201" s="135" t="inlineStr">
        <is>
          <t>L204</t>
        </is>
      </c>
      <c r="B201" s="136" t="inlineStr">
        <is>
          <t>Lote 204</t>
        </is>
      </c>
      <c r="C201" s="135" t="inlineStr">
        <is>
          <t>M21</t>
        </is>
      </c>
      <c r="D201" s="136" t="inlineStr">
        <is>
          <t>Lote Estándar</t>
        </is>
      </c>
      <c r="E201" s="137">
        <f>'Inventario Detallado'!E205</f>
        <v/>
      </c>
      <c r="F201" s="135" t="inlineStr">
        <is>
          <t>12.59m x 19.41m</t>
        </is>
      </c>
      <c r="G201" s="138">
        <f>'Inventario Detallado'!G205</f>
        <v/>
      </c>
      <c r="H201" s="139" t="n">
        <v>38</v>
      </c>
      <c r="I201" s="139" t="n">
        <v>65</v>
      </c>
      <c r="J201" s="135" t="inlineStr">
        <is>
          <t>Disponible</t>
        </is>
      </c>
    </row>
    <row r="202">
      <c r="A202" s="135" t="inlineStr">
        <is>
          <t>L205</t>
        </is>
      </c>
      <c r="B202" s="136" t="inlineStr">
        <is>
          <t>Lote 205</t>
        </is>
      </c>
      <c r="C202" s="135" t="inlineStr">
        <is>
          <t>M21</t>
        </is>
      </c>
      <c r="D202" s="136" t="inlineStr">
        <is>
          <t>Lote Estándar</t>
        </is>
      </c>
      <c r="E202" s="137">
        <f>'Inventario Detallado'!E206</f>
        <v/>
      </c>
      <c r="F202" s="135" t="inlineStr">
        <is>
          <t>12.59m x 19.43m</t>
        </is>
      </c>
      <c r="G202" s="138">
        <f>'Inventario Detallado'!G206</f>
        <v/>
      </c>
      <c r="H202" s="139" t="n">
        <v>38</v>
      </c>
      <c r="I202" s="139" t="n">
        <v>53</v>
      </c>
      <c r="J202" s="135" t="inlineStr">
        <is>
          <t>Disponible</t>
        </is>
      </c>
    </row>
    <row r="203">
      <c r="A203" s="135" t="inlineStr">
        <is>
          <t>L206</t>
        </is>
      </c>
      <c r="B203" s="136" t="inlineStr">
        <is>
          <t>Lote 206</t>
        </is>
      </c>
      <c r="C203" s="135" t="inlineStr">
        <is>
          <t>M21</t>
        </is>
      </c>
      <c r="D203" s="136" t="inlineStr">
        <is>
          <t>Lote Estándar</t>
        </is>
      </c>
      <c r="E203" s="137">
        <f>'Inventario Detallado'!E207</f>
        <v/>
      </c>
      <c r="F203" s="135" t="inlineStr">
        <is>
          <t>12.59m x 19.47m</t>
        </is>
      </c>
      <c r="G203" s="138">
        <f>'Inventario Detallado'!G207</f>
        <v/>
      </c>
      <c r="H203" s="139" t="n">
        <v>38</v>
      </c>
      <c r="I203" s="139" t="n">
        <v>40</v>
      </c>
      <c r="J203" s="135" t="inlineStr">
        <is>
          <t>Disponible</t>
        </is>
      </c>
    </row>
    <row r="204">
      <c r="A204" s="135" t="inlineStr">
        <is>
          <t>L207</t>
        </is>
      </c>
      <c r="B204" s="136" t="inlineStr">
        <is>
          <t>Lote 207</t>
        </is>
      </c>
      <c r="C204" s="135" t="inlineStr">
        <is>
          <t>M21</t>
        </is>
      </c>
      <c r="D204" s="136" t="inlineStr">
        <is>
          <t>Lote Estándar</t>
        </is>
      </c>
      <c r="E204" s="137">
        <f>'Inventario Detallado'!E208</f>
        <v/>
      </c>
      <c r="F204" s="135" t="inlineStr">
        <is>
          <t>12.59m x 19.55m</t>
        </is>
      </c>
      <c r="G204" s="138">
        <f>'Inventario Detallado'!G208</f>
        <v/>
      </c>
      <c r="H204" s="139" t="n">
        <v>39</v>
      </c>
      <c r="I204" s="139" t="n">
        <v>28</v>
      </c>
      <c r="J204" s="135" t="inlineStr">
        <is>
          <t>Disponible</t>
        </is>
      </c>
    </row>
    <row r="205">
      <c r="A205" s="135" t="inlineStr">
        <is>
          <t>L208</t>
        </is>
      </c>
      <c r="B205" s="136" t="inlineStr">
        <is>
          <t>Lote 208</t>
        </is>
      </c>
      <c r="C205" s="135" t="inlineStr">
        <is>
          <t>M21</t>
        </is>
      </c>
      <c r="D205" s="136" t="inlineStr">
        <is>
          <t>Lote Estándar</t>
        </is>
      </c>
      <c r="E205" s="137">
        <f>'Inventario Detallado'!E209</f>
        <v/>
      </c>
      <c r="F205" s="135" t="inlineStr">
        <is>
          <t>12.59m x 19.64m</t>
        </is>
      </c>
      <c r="G205" s="138">
        <f>'Inventario Detallado'!G209</f>
        <v/>
      </c>
      <c r="H205" s="139" t="n">
        <v>39</v>
      </c>
      <c r="I205" s="139" t="n">
        <v>15</v>
      </c>
      <c r="J205" s="135" t="inlineStr">
        <is>
          <t>Disponible</t>
        </is>
      </c>
    </row>
    <row r="206">
      <c r="A206" s="135" t="inlineStr">
        <is>
          <t>L209</t>
        </is>
      </c>
      <c r="B206" s="136" t="inlineStr">
        <is>
          <t>Lote 209</t>
        </is>
      </c>
      <c r="C206" s="135" t="inlineStr">
        <is>
          <t>M22</t>
        </is>
      </c>
      <c r="D206" s="136" t="inlineStr">
        <is>
          <t>Lote Tiny House</t>
        </is>
      </c>
      <c r="E206" s="137">
        <f>'Inventario Detallado'!E210</f>
        <v/>
      </c>
      <c r="F206" s="135" t="inlineStr">
        <is>
          <t>12.20m x 9.47m</t>
        </is>
      </c>
      <c r="G206" s="138">
        <f>'Inventario Detallado'!G210</f>
        <v/>
      </c>
      <c r="H206" s="139" t="n">
        <v>61</v>
      </c>
      <c r="I206" s="139" t="n">
        <v>26</v>
      </c>
      <c r="J206" s="135" t="inlineStr">
        <is>
          <t>Disponible</t>
        </is>
      </c>
    </row>
    <row r="207">
      <c r="A207" s="135" t="inlineStr">
        <is>
          <t>L210</t>
        </is>
      </c>
      <c r="B207" s="136" t="inlineStr">
        <is>
          <t>Lote 210</t>
        </is>
      </c>
      <c r="C207" s="135" t="inlineStr">
        <is>
          <t>M22</t>
        </is>
      </c>
      <c r="D207" s="136" t="inlineStr">
        <is>
          <t>Lote Tiny House</t>
        </is>
      </c>
      <c r="E207" s="137">
        <f>'Inventario Detallado'!E211</f>
        <v/>
      </c>
      <c r="F207" s="135" t="inlineStr">
        <is>
          <t>12.20m x 9.45m</t>
        </is>
      </c>
      <c r="G207" s="138">
        <f>'Inventario Detallado'!G211</f>
        <v/>
      </c>
      <c r="H207" s="139" t="n">
        <v>60</v>
      </c>
      <c r="I207" s="139" t="n">
        <v>36</v>
      </c>
      <c r="J207" s="135" t="inlineStr">
        <is>
          <t>Disponible</t>
        </is>
      </c>
    </row>
    <row r="208">
      <c r="A208" s="135" t="inlineStr">
        <is>
          <t>L211</t>
        </is>
      </c>
      <c r="B208" s="136" t="inlineStr">
        <is>
          <t>Lote 211</t>
        </is>
      </c>
      <c r="C208" s="135" t="inlineStr">
        <is>
          <t>M22</t>
        </is>
      </c>
      <c r="D208" s="136" t="inlineStr">
        <is>
          <t>Lote Tiny House</t>
        </is>
      </c>
      <c r="E208" s="137">
        <f>'Inventario Detallado'!E212</f>
        <v/>
      </c>
      <c r="F208" s="135" t="inlineStr">
        <is>
          <t>12.20m x 9.45m</t>
        </is>
      </c>
      <c r="G208" s="138">
        <f>'Inventario Detallado'!G212</f>
        <v/>
      </c>
      <c r="H208" s="139" t="n">
        <v>59</v>
      </c>
      <c r="I208" s="139" t="n">
        <v>47</v>
      </c>
      <c r="J208" s="135" t="inlineStr">
        <is>
          <t>Disponible</t>
        </is>
      </c>
    </row>
    <row r="209">
      <c r="A209" s="135" t="inlineStr">
        <is>
          <t>L212</t>
        </is>
      </c>
      <c r="B209" s="136" t="inlineStr">
        <is>
          <t>Lote 212</t>
        </is>
      </c>
      <c r="C209" s="135" t="inlineStr">
        <is>
          <t>M22</t>
        </is>
      </c>
      <c r="D209" s="136" t="inlineStr">
        <is>
          <t>Lote Tiny House</t>
        </is>
      </c>
      <c r="E209" s="137">
        <f>'Inventario Detallado'!E213</f>
        <v/>
      </c>
      <c r="F209" s="135" t="inlineStr">
        <is>
          <t>12.23m x 9.46m</t>
        </is>
      </c>
      <c r="G209" s="138">
        <f>'Inventario Detallado'!G213</f>
        <v/>
      </c>
      <c r="H209" s="139" t="n">
        <v>59</v>
      </c>
      <c r="I209" s="139" t="n">
        <v>58</v>
      </c>
      <c r="J209" s="135" t="inlineStr">
        <is>
          <t>Disponible</t>
        </is>
      </c>
    </row>
    <row r="210">
      <c r="A210" s="135" t="inlineStr">
        <is>
          <t>L213</t>
        </is>
      </c>
      <c r="B210" s="136" t="inlineStr">
        <is>
          <t>Lote 213</t>
        </is>
      </c>
      <c r="C210" s="135" t="inlineStr">
        <is>
          <t>M22</t>
        </is>
      </c>
      <c r="D210" s="136" t="inlineStr">
        <is>
          <t>Lote Tiny House</t>
        </is>
      </c>
      <c r="E210" s="137">
        <f>'Inventario Detallado'!E214</f>
        <v/>
      </c>
      <c r="F210" s="135" t="inlineStr">
        <is>
          <t>12.23m x 9.49m</t>
        </is>
      </c>
      <c r="G210" s="138">
        <f>'Inventario Detallado'!G214</f>
        <v/>
      </c>
      <c r="H210" s="139" t="n">
        <v>59</v>
      </c>
      <c r="I210" s="139" t="n">
        <v>70</v>
      </c>
      <c r="J210" s="135" t="inlineStr">
        <is>
          <t>Disponible</t>
        </is>
      </c>
    </row>
    <row r="211">
      <c r="A211" s="135" t="inlineStr">
        <is>
          <t>L214</t>
        </is>
      </c>
      <c r="B211" s="136" t="inlineStr">
        <is>
          <t>Lote 214</t>
        </is>
      </c>
      <c r="C211" s="135" t="inlineStr">
        <is>
          <t>M22</t>
        </is>
      </c>
      <c r="D211" s="136" t="inlineStr">
        <is>
          <t>Lote Tiny House</t>
        </is>
      </c>
      <c r="E211" s="137">
        <f>'Inventario Detallado'!E215</f>
        <v/>
      </c>
      <c r="F211" s="135" t="inlineStr">
        <is>
          <t>12.23m x 9.53m</t>
        </is>
      </c>
      <c r="G211" s="138">
        <f>'Inventario Detallado'!G215</f>
        <v/>
      </c>
      <c r="H211" s="139" t="n">
        <v>60</v>
      </c>
      <c r="I211" s="139" t="n">
        <v>82</v>
      </c>
      <c r="J211" s="135" t="inlineStr">
        <is>
          <t>Disponible</t>
        </is>
      </c>
    </row>
    <row r="212">
      <c r="A212" s="135" t="inlineStr">
        <is>
          <t>L215</t>
        </is>
      </c>
      <c r="B212" s="136" t="inlineStr">
        <is>
          <t>Lote 215</t>
        </is>
      </c>
      <c r="C212" s="135" t="inlineStr">
        <is>
          <t>M22</t>
        </is>
      </c>
      <c r="D212" s="136" t="inlineStr">
        <is>
          <t>Lote Tiny House</t>
        </is>
      </c>
      <c r="E212" s="137">
        <f>'Inventario Detallado'!E216</f>
        <v/>
      </c>
      <c r="F212" s="135" t="inlineStr">
        <is>
          <t>12.23m x 9.57m</t>
        </is>
      </c>
      <c r="G212" s="138">
        <f>'Inventario Detallado'!G216</f>
        <v/>
      </c>
      <c r="H212" s="139" t="n">
        <v>60</v>
      </c>
      <c r="I212" s="139" t="n">
        <v>94</v>
      </c>
      <c r="J212" s="135" t="inlineStr">
        <is>
          <t>Disponible</t>
        </is>
      </c>
    </row>
    <row r="213">
      <c r="A213" s="135" t="inlineStr">
        <is>
          <t>L216</t>
        </is>
      </c>
      <c r="B213" s="136" t="inlineStr">
        <is>
          <t>Lote 216</t>
        </is>
      </c>
      <c r="C213" s="135" t="inlineStr">
        <is>
          <t>M22</t>
        </is>
      </c>
      <c r="D213" s="136" t="inlineStr">
        <is>
          <t>Lote Tiny House</t>
        </is>
      </c>
      <c r="E213" s="137">
        <f>'Inventario Detallado'!E217</f>
        <v/>
      </c>
      <c r="F213" s="135" t="inlineStr">
        <is>
          <t>12.20m x 9.47m</t>
        </is>
      </c>
      <c r="G213" s="138">
        <f>'Inventario Detallado'!G217</f>
        <v/>
      </c>
      <c r="H213" s="139" t="n">
        <v>70</v>
      </c>
      <c r="I213" s="139" t="n">
        <v>20</v>
      </c>
      <c r="J213" s="135" t="inlineStr">
        <is>
          <t>Disponible</t>
        </is>
      </c>
    </row>
    <row r="214">
      <c r="A214" s="135" t="inlineStr">
        <is>
          <t>L217</t>
        </is>
      </c>
      <c r="B214" s="136" t="inlineStr">
        <is>
          <t>Lote 217</t>
        </is>
      </c>
      <c r="C214" s="135" t="inlineStr">
        <is>
          <t>M22</t>
        </is>
      </c>
      <c r="D214" s="136" t="inlineStr">
        <is>
          <t>Lote Tiny House</t>
        </is>
      </c>
      <c r="E214" s="137">
        <f>'Inventario Detallado'!E218</f>
        <v/>
      </c>
      <c r="F214" s="135" t="inlineStr">
        <is>
          <t>12.20m x 9.45m</t>
        </is>
      </c>
      <c r="G214" s="138">
        <f>'Inventario Detallado'!G218</f>
        <v/>
      </c>
      <c r="H214" s="139" t="n">
        <v>69</v>
      </c>
      <c r="I214" s="139" t="n">
        <v>31</v>
      </c>
      <c r="J214" s="135" t="inlineStr">
        <is>
          <t>Disponible</t>
        </is>
      </c>
    </row>
    <row r="215">
      <c r="A215" s="135" t="inlineStr">
        <is>
          <t>L218</t>
        </is>
      </c>
      <c r="B215" s="136" t="inlineStr">
        <is>
          <t>Lote 218</t>
        </is>
      </c>
      <c r="C215" s="135" t="inlineStr">
        <is>
          <t>M22</t>
        </is>
      </c>
      <c r="D215" s="136" t="inlineStr">
        <is>
          <t>Lote Tiny House</t>
        </is>
      </c>
      <c r="E215" s="137">
        <f>'Inventario Detallado'!E219</f>
        <v/>
      </c>
      <c r="F215" s="135" t="inlineStr">
        <is>
          <t>12.20m x 9.45m</t>
        </is>
      </c>
      <c r="G215" s="138">
        <f>'Inventario Detallado'!G219</f>
        <v/>
      </c>
      <c r="H215" s="139" t="n">
        <v>69</v>
      </c>
      <c r="I215" s="139" t="n">
        <v>42</v>
      </c>
      <c r="J215" s="135" t="inlineStr">
        <is>
          <t>Disponible</t>
        </is>
      </c>
    </row>
    <row r="216">
      <c r="A216" s="135" t="inlineStr">
        <is>
          <t>L219</t>
        </is>
      </c>
      <c r="B216" s="136" t="inlineStr">
        <is>
          <t>Lote 219</t>
        </is>
      </c>
      <c r="C216" s="135" t="inlineStr">
        <is>
          <t>M22</t>
        </is>
      </c>
      <c r="D216" s="136" t="inlineStr">
        <is>
          <t>Lote Tiny House</t>
        </is>
      </c>
      <c r="E216" s="137">
        <f>'Inventario Detallado'!E220</f>
        <v/>
      </c>
      <c r="F216" s="135" t="inlineStr">
        <is>
          <t>12.23m x 9.46m</t>
        </is>
      </c>
      <c r="G216" s="138">
        <f>'Inventario Detallado'!G220</f>
        <v/>
      </c>
      <c r="H216" s="139" t="n">
        <v>69</v>
      </c>
      <c r="I216" s="139" t="n">
        <v>55</v>
      </c>
      <c r="J216" s="135" t="inlineStr">
        <is>
          <t>Disponible</t>
        </is>
      </c>
    </row>
    <row r="217">
      <c r="A217" s="135" t="inlineStr">
        <is>
          <t>L220</t>
        </is>
      </c>
      <c r="B217" s="136" t="inlineStr">
        <is>
          <t>Lote 220</t>
        </is>
      </c>
      <c r="C217" s="135" t="inlineStr">
        <is>
          <t>M22</t>
        </is>
      </c>
      <c r="D217" s="136" t="inlineStr">
        <is>
          <t>Lote Tiny House</t>
        </is>
      </c>
      <c r="E217" s="137">
        <f>'Inventario Detallado'!E221</f>
        <v/>
      </c>
      <c r="F217" s="135" t="inlineStr">
        <is>
          <t>12.23m x 9.49m</t>
        </is>
      </c>
      <c r="G217" s="138">
        <f>'Inventario Detallado'!G221</f>
        <v/>
      </c>
      <c r="H217" s="139" t="n">
        <v>69</v>
      </c>
      <c r="I217" s="139" t="n">
        <v>67</v>
      </c>
      <c r="J217" s="135" t="inlineStr">
        <is>
          <t>Disponible</t>
        </is>
      </c>
    </row>
    <row r="218">
      <c r="A218" s="135" t="inlineStr">
        <is>
          <t>L221</t>
        </is>
      </c>
      <c r="B218" s="136" t="inlineStr">
        <is>
          <t>Lote 221</t>
        </is>
      </c>
      <c r="C218" s="135" t="inlineStr">
        <is>
          <t>M22</t>
        </is>
      </c>
      <c r="D218" s="136" t="inlineStr">
        <is>
          <t>Lote Tiny House</t>
        </is>
      </c>
      <c r="E218" s="137">
        <f>'Inventario Detallado'!E222</f>
        <v/>
      </c>
      <c r="F218" s="135" t="inlineStr">
        <is>
          <t>12.23m x 9.53m</t>
        </is>
      </c>
      <c r="G218" s="138">
        <f>'Inventario Detallado'!G222</f>
        <v/>
      </c>
      <c r="H218" s="139" t="n">
        <v>69</v>
      </c>
      <c r="I218" s="139" t="n">
        <v>79</v>
      </c>
      <c r="J218" s="135" t="inlineStr">
        <is>
          <t>Disponible</t>
        </is>
      </c>
    </row>
    <row r="219">
      <c r="A219" s="135" t="inlineStr">
        <is>
          <t>L222</t>
        </is>
      </c>
      <c r="B219" s="136" t="inlineStr">
        <is>
          <t>Lote 222</t>
        </is>
      </c>
      <c r="C219" s="135" t="inlineStr">
        <is>
          <t>M22</t>
        </is>
      </c>
      <c r="D219" s="136" t="inlineStr">
        <is>
          <t>Lote Tiny House</t>
        </is>
      </c>
      <c r="E219" s="137">
        <f>'Inventario Detallado'!E223</f>
        <v/>
      </c>
      <c r="F219" s="135" t="inlineStr">
        <is>
          <t>12.23m x 9.57m</t>
        </is>
      </c>
      <c r="G219" s="138">
        <f>'Inventario Detallado'!G223</f>
        <v/>
      </c>
      <c r="H219" s="139" t="n">
        <v>70</v>
      </c>
      <c r="I219" s="139" t="n">
        <v>91</v>
      </c>
      <c r="J219" s="135" t="inlineStr">
        <is>
          <t>Disponible</t>
        </is>
      </c>
    </row>
    <row r="220">
      <c r="A220" s="135" t="inlineStr">
        <is>
          <t>L223</t>
        </is>
      </c>
      <c r="B220" s="136" t="inlineStr">
        <is>
          <t>Lote 223</t>
        </is>
      </c>
      <c r="C220" s="135" t="inlineStr">
        <is>
          <t>M23</t>
        </is>
      </c>
      <c r="D220" s="136" t="inlineStr">
        <is>
          <t>Lote Tiny House</t>
        </is>
      </c>
      <c r="E220" s="137">
        <f>'Inventario Detallado'!E224</f>
        <v/>
      </c>
      <c r="F220" s="135" t="inlineStr">
        <is>
          <t>12.11m x 9.64m</t>
        </is>
      </c>
      <c r="G220" s="138">
        <f>'Inventario Detallado'!G224</f>
        <v/>
      </c>
      <c r="H220" s="139" t="n">
        <v>62</v>
      </c>
      <c r="I220" s="139" t="n">
        <v>111</v>
      </c>
      <c r="J220" s="135" t="inlineStr">
        <is>
          <t>Disponible</t>
        </is>
      </c>
    </row>
    <row r="221">
      <c r="A221" s="135" t="inlineStr">
        <is>
          <t>L224</t>
        </is>
      </c>
      <c r="B221" s="136" t="inlineStr">
        <is>
          <t>Lote 224</t>
        </is>
      </c>
      <c r="C221" s="135" t="inlineStr">
        <is>
          <t>M23</t>
        </is>
      </c>
      <c r="D221" s="136" t="inlineStr">
        <is>
          <t>Lote Tiny House</t>
        </is>
      </c>
      <c r="E221" s="137">
        <f>'Inventario Detallado'!E225</f>
        <v/>
      </c>
      <c r="F221" s="135" t="inlineStr">
        <is>
          <t>12.11m x 9.67m</t>
        </is>
      </c>
      <c r="G221" s="138">
        <f>'Inventario Detallado'!G225</f>
        <v/>
      </c>
      <c r="H221" s="139" t="n">
        <v>63</v>
      </c>
      <c r="I221" s="139" t="n">
        <v>123</v>
      </c>
      <c r="J221" s="135" t="inlineStr">
        <is>
          <t>Disponible</t>
        </is>
      </c>
    </row>
    <row r="222">
      <c r="A222" s="135" t="inlineStr">
        <is>
          <t>L225</t>
        </is>
      </c>
      <c r="B222" s="136" t="inlineStr">
        <is>
          <t>Lote 225</t>
        </is>
      </c>
      <c r="C222" s="135" t="inlineStr">
        <is>
          <t>M23</t>
        </is>
      </c>
      <c r="D222" s="136" t="inlineStr">
        <is>
          <t>Lote Tiny House</t>
        </is>
      </c>
      <c r="E222" s="137">
        <f>'Inventario Detallado'!E226</f>
        <v/>
      </c>
      <c r="F222" s="135" t="inlineStr">
        <is>
          <t>12.11m x 9.68m</t>
        </is>
      </c>
      <c r="G222" s="138">
        <f>'Inventario Detallado'!G226</f>
        <v/>
      </c>
      <c r="H222" s="139" t="n">
        <v>64</v>
      </c>
      <c r="I222" s="139" t="n">
        <v>135</v>
      </c>
      <c r="J222" s="135" t="inlineStr">
        <is>
          <t>Disponible</t>
        </is>
      </c>
    </row>
    <row r="223">
      <c r="A223" s="135" t="inlineStr">
        <is>
          <t>L226</t>
        </is>
      </c>
      <c r="B223" s="136" t="inlineStr">
        <is>
          <t>Lote 226</t>
        </is>
      </c>
      <c r="C223" s="135" t="inlineStr">
        <is>
          <t>M23</t>
        </is>
      </c>
      <c r="D223" s="136" t="inlineStr">
        <is>
          <t>Lote Tiny House</t>
        </is>
      </c>
      <c r="E223" s="137">
        <f>'Inventario Detallado'!E227</f>
        <v/>
      </c>
      <c r="F223" s="135" t="inlineStr">
        <is>
          <t>12.11m x 9.70m</t>
        </is>
      </c>
      <c r="G223" s="138">
        <f>'Inventario Detallado'!G227</f>
        <v/>
      </c>
      <c r="H223" s="139" t="n">
        <v>64</v>
      </c>
      <c r="I223" s="139" t="n">
        <v>145</v>
      </c>
      <c r="J223" s="135" t="inlineStr">
        <is>
          <t>Disponible</t>
        </is>
      </c>
    </row>
    <row r="224">
      <c r="A224" s="135" t="inlineStr">
        <is>
          <t>L227</t>
        </is>
      </c>
      <c r="B224" s="136" t="inlineStr">
        <is>
          <t>Lote 227</t>
        </is>
      </c>
      <c r="C224" s="135" t="inlineStr">
        <is>
          <t>M23</t>
        </is>
      </c>
      <c r="D224" s="136" t="inlineStr">
        <is>
          <t>Lote Tiny House</t>
        </is>
      </c>
      <c r="E224" s="137">
        <f>'Inventario Detallado'!E228</f>
        <v/>
      </c>
      <c r="F224" s="135" t="inlineStr">
        <is>
          <t>12.11m x 9.71m</t>
        </is>
      </c>
      <c r="G224" s="138">
        <f>'Inventario Detallado'!G228</f>
        <v/>
      </c>
      <c r="H224" s="139" t="n">
        <v>64</v>
      </c>
      <c r="I224" s="139" t="n">
        <v>145</v>
      </c>
      <c r="J224" s="135" t="inlineStr">
        <is>
          <t>Disponible</t>
        </is>
      </c>
    </row>
    <row r="225">
      <c r="A225" s="135" t="inlineStr">
        <is>
          <t>L228</t>
        </is>
      </c>
      <c r="B225" s="136" t="inlineStr">
        <is>
          <t>Lote 228</t>
        </is>
      </c>
      <c r="C225" s="135" t="inlineStr">
        <is>
          <t>M23</t>
        </is>
      </c>
      <c r="D225" s="136" t="inlineStr">
        <is>
          <t>Lote Tiny House</t>
        </is>
      </c>
      <c r="E225" s="137">
        <f>'Inventario Detallado'!E229</f>
        <v/>
      </c>
      <c r="F225" s="135" t="inlineStr">
        <is>
          <t>12.11m x 9.72m</t>
        </is>
      </c>
      <c r="G225" s="138">
        <f>'Inventario Detallado'!G229</f>
        <v/>
      </c>
      <c r="H225" s="139" t="n">
        <v>64</v>
      </c>
      <c r="I225" s="139" t="n">
        <v>145</v>
      </c>
      <c r="J225" s="135" t="inlineStr">
        <is>
          <t>Disponible</t>
        </is>
      </c>
    </row>
    <row r="226">
      <c r="A226" s="135" t="inlineStr">
        <is>
          <t>L230</t>
        </is>
      </c>
      <c r="B226" s="136" t="inlineStr">
        <is>
          <t>Lote 230</t>
        </is>
      </c>
      <c r="C226" s="135" t="inlineStr">
        <is>
          <t>M23</t>
        </is>
      </c>
      <c r="D226" s="136" t="inlineStr">
        <is>
          <t>Lote Tiny House</t>
        </is>
      </c>
      <c r="E226" s="137">
        <f>'Inventario Detallado'!E231</f>
        <v/>
      </c>
      <c r="F226" s="135" t="inlineStr">
        <is>
          <t>12.11m x 9.75m</t>
        </is>
      </c>
      <c r="G226" s="138">
        <f>'Inventario Detallado'!G231</f>
        <v/>
      </c>
      <c r="H226" s="139" t="n">
        <v>64</v>
      </c>
      <c r="I226" s="139" t="n">
        <v>145</v>
      </c>
      <c r="J226" s="135" t="inlineStr">
        <is>
          <t>Disponible</t>
        </is>
      </c>
    </row>
    <row r="227">
      <c r="A227" s="135" t="inlineStr">
        <is>
          <t>L231</t>
        </is>
      </c>
      <c r="B227" s="136" t="inlineStr">
        <is>
          <t>Lote 231</t>
        </is>
      </c>
      <c r="C227" s="135" t="inlineStr">
        <is>
          <t>M23</t>
        </is>
      </c>
      <c r="D227" s="136" t="inlineStr">
        <is>
          <t>Lote Tiny House</t>
        </is>
      </c>
      <c r="E227" s="137">
        <f>'Inventario Detallado'!E232</f>
        <v/>
      </c>
      <c r="F227" s="135" t="inlineStr">
        <is>
          <t>12.11m x 9.76m</t>
        </is>
      </c>
      <c r="G227" s="138">
        <f>'Inventario Detallado'!G232</f>
        <v/>
      </c>
      <c r="H227" s="139" t="n">
        <v>64</v>
      </c>
      <c r="I227" s="139" t="n">
        <v>145</v>
      </c>
      <c r="J227" s="135" t="inlineStr">
        <is>
          <t>Disponible</t>
        </is>
      </c>
    </row>
    <row r="228">
      <c r="A228" s="135" t="inlineStr">
        <is>
          <t>L232</t>
        </is>
      </c>
      <c r="B228" s="136" t="inlineStr">
        <is>
          <t>Lote 232</t>
        </is>
      </c>
      <c r="C228" s="135" t="inlineStr">
        <is>
          <t>M23</t>
        </is>
      </c>
      <c r="D228" s="136" t="inlineStr">
        <is>
          <t>Lote Tiny House</t>
        </is>
      </c>
      <c r="E228" s="137">
        <f>'Inventario Detallado'!E233</f>
        <v/>
      </c>
      <c r="F228" s="135" t="inlineStr">
        <is>
          <t>12.11m x 9.77m</t>
        </is>
      </c>
      <c r="G228" s="138">
        <f>'Inventario Detallado'!G233</f>
        <v/>
      </c>
      <c r="H228" s="139" t="n">
        <v>64</v>
      </c>
      <c r="I228" s="139" t="n">
        <v>134</v>
      </c>
      <c r="J228" s="135" t="inlineStr">
        <is>
          <t>Disponible</t>
        </is>
      </c>
    </row>
    <row r="229">
      <c r="A229" s="135" t="inlineStr">
        <is>
          <t>L233</t>
        </is>
      </c>
      <c r="B229" s="136" t="inlineStr">
        <is>
          <t>Lote 233</t>
        </is>
      </c>
      <c r="C229" s="135" t="inlineStr">
        <is>
          <t>M23</t>
        </is>
      </c>
      <c r="D229" s="136" t="inlineStr">
        <is>
          <t>Lote Tiny House</t>
        </is>
      </c>
      <c r="E229" s="137">
        <f>'Inventario Detallado'!E234</f>
        <v/>
      </c>
      <c r="F229" s="135" t="inlineStr">
        <is>
          <t>12.11m x 9.64m</t>
        </is>
      </c>
      <c r="G229" s="138">
        <f>'Inventario Detallado'!G234</f>
        <v/>
      </c>
      <c r="H229" s="139" t="n">
        <v>71</v>
      </c>
      <c r="I229" s="139" t="n">
        <v>108</v>
      </c>
      <c r="J229" s="135" t="inlineStr">
        <is>
          <t>Disponible</t>
        </is>
      </c>
    </row>
    <row r="230">
      <c r="A230" s="135" t="inlineStr">
        <is>
          <t>L234</t>
        </is>
      </c>
      <c r="B230" s="136" t="inlineStr">
        <is>
          <t>Lote 234</t>
        </is>
      </c>
      <c r="C230" s="135" t="inlineStr">
        <is>
          <t>M23</t>
        </is>
      </c>
      <c r="D230" s="136" t="inlineStr">
        <is>
          <t>Lote Tiny House</t>
        </is>
      </c>
      <c r="E230" s="137">
        <f>'Inventario Detallado'!E235</f>
        <v/>
      </c>
      <c r="F230" s="135" t="inlineStr">
        <is>
          <t>12.11m x 9.67m</t>
        </is>
      </c>
      <c r="G230" s="138">
        <f>'Inventario Detallado'!G235</f>
        <v/>
      </c>
      <c r="H230" s="139" t="n">
        <v>73</v>
      </c>
      <c r="I230" s="139" t="n">
        <v>120</v>
      </c>
      <c r="J230" s="135" t="inlineStr">
        <is>
          <t>Disponible</t>
        </is>
      </c>
    </row>
    <row r="231">
      <c r="A231" s="135" t="inlineStr">
        <is>
          <t>L235</t>
        </is>
      </c>
      <c r="B231" s="136" t="inlineStr">
        <is>
          <t>Lote 235</t>
        </is>
      </c>
      <c r="C231" s="135" t="inlineStr">
        <is>
          <t>M23</t>
        </is>
      </c>
      <c r="D231" s="136" t="inlineStr">
        <is>
          <t>Lote Tiny House</t>
        </is>
      </c>
      <c r="E231" s="137">
        <f>'Inventario Detallado'!E236</f>
        <v/>
      </c>
      <c r="F231" s="135" t="inlineStr">
        <is>
          <t>12.11m x 9.68m</t>
        </is>
      </c>
      <c r="G231" s="138">
        <f>'Inventario Detallado'!G236</f>
        <v/>
      </c>
      <c r="H231" s="139" t="n">
        <v>73</v>
      </c>
      <c r="I231" s="139" t="n">
        <v>132</v>
      </c>
      <c r="J231" s="135" t="inlineStr">
        <is>
          <t>Disponible</t>
        </is>
      </c>
    </row>
    <row r="232">
      <c r="A232" s="135" t="inlineStr">
        <is>
          <t>L236</t>
        </is>
      </c>
      <c r="B232" s="136" t="inlineStr">
        <is>
          <t>Lote 236</t>
        </is>
      </c>
      <c r="C232" s="135" t="inlineStr">
        <is>
          <t>M23</t>
        </is>
      </c>
      <c r="D232" s="136" t="inlineStr">
        <is>
          <t>Lote Tiny House</t>
        </is>
      </c>
      <c r="E232" s="137">
        <f>'Inventario Detallado'!E237</f>
        <v/>
      </c>
      <c r="F232" s="135" t="inlineStr">
        <is>
          <t>12.11m x 9.70m</t>
        </is>
      </c>
      <c r="G232" s="138">
        <f>'Inventario Detallado'!G237</f>
        <v/>
      </c>
      <c r="H232" s="139" t="n">
        <v>73</v>
      </c>
      <c r="I232" s="139" t="n">
        <v>144</v>
      </c>
      <c r="J232" s="135" t="inlineStr">
        <is>
          <t>Disponible</t>
        </is>
      </c>
    </row>
    <row r="233">
      <c r="A233" s="135" t="inlineStr">
        <is>
          <t>L237</t>
        </is>
      </c>
      <c r="B233" s="136" t="inlineStr">
        <is>
          <t>Lote 237</t>
        </is>
      </c>
      <c r="C233" s="135" t="inlineStr">
        <is>
          <t>M23</t>
        </is>
      </c>
      <c r="D233" s="136" t="inlineStr">
        <is>
          <t>Lote Tiny House</t>
        </is>
      </c>
      <c r="E233" s="137">
        <f>'Inventario Detallado'!E238</f>
        <v/>
      </c>
      <c r="F233" s="135" t="inlineStr">
        <is>
          <t>12.11m x 9.71m</t>
        </is>
      </c>
      <c r="G233" s="138">
        <f>'Inventario Detallado'!G238</f>
        <v/>
      </c>
      <c r="H233" s="139" t="n">
        <v>74</v>
      </c>
      <c r="I233" s="139" t="n">
        <v>145</v>
      </c>
      <c r="J233" s="135" t="inlineStr">
        <is>
          <t>Disponible</t>
        </is>
      </c>
    </row>
    <row r="234">
      <c r="A234" s="135" t="inlineStr">
        <is>
          <t>L238</t>
        </is>
      </c>
      <c r="B234" s="136" t="inlineStr">
        <is>
          <t>Lote 238</t>
        </is>
      </c>
      <c r="C234" s="135" t="inlineStr">
        <is>
          <t>M23</t>
        </is>
      </c>
      <c r="D234" s="136" t="inlineStr">
        <is>
          <t>Lote Tiny House</t>
        </is>
      </c>
      <c r="E234" s="137">
        <f>'Inventario Detallado'!E239</f>
        <v/>
      </c>
      <c r="F234" s="135" t="inlineStr">
        <is>
          <t>12.11m x 9.72m</t>
        </is>
      </c>
      <c r="G234" s="138">
        <f>'Inventario Detallado'!G239</f>
        <v/>
      </c>
      <c r="H234" s="139" t="n">
        <v>74</v>
      </c>
      <c r="I234" s="139" t="n">
        <v>145</v>
      </c>
      <c r="J234" s="135" t="inlineStr">
        <is>
          <t>Disponible</t>
        </is>
      </c>
    </row>
    <row r="235">
      <c r="A235" s="135" t="inlineStr">
        <is>
          <t>L239</t>
        </is>
      </c>
      <c r="B235" s="136" t="inlineStr">
        <is>
          <t>Lote 239</t>
        </is>
      </c>
      <c r="C235" s="135" t="inlineStr">
        <is>
          <t>M23</t>
        </is>
      </c>
      <c r="D235" s="136" t="inlineStr">
        <is>
          <t>Lote Tiny House</t>
        </is>
      </c>
      <c r="E235" s="137">
        <f>'Inventario Detallado'!E240</f>
        <v/>
      </c>
      <c r="F235" s="135" t="inlineStr">
        <is>
          <t>12.11m x 9.74m</t>
        </is>
      </c>
      <c r="G235" s="138">
        <f>'Inventario Detallado'!G240</f>
        <v/>
      </c>
      <c r="H235" s="139" t="n">
        <v>74</v>
      </c>
      <c r="I235" s="139" t="n">
        <v>145</v>
      </c>
      <c r="J235" s="135" t="inlineStr">
        <is>
          <t>Disponible</t>
        </is>
      </c>
    </row>
    <row r="236">
      <c r="A236" s="135" t="inlineStr">
        <is>
          <t>L240</t>
        </is>
      </c>
      <c r="B236" s="136" t="inlineStr">
        <is>
          <t>Lote 240</t>
        </is>
      </c>
      <c r="C236" s="135" t="inlineStr">
        <is>
          <t>M23</t>
        </is>
      </c>
      <c r="D236" s="136" t="inlineStr">
        <is>
          <t>Lote Tiny House</t>
        </is>
      </c>
      <c r="E236" s="137">
        <f>'Inventario Detallado'!E241</f>
        <v/>
      </c>
      <c r="F236" s="135" t="inlineStr">
        <is>
          <t>12.11m x 9.75m</t>
        </is>
      </c>
      <c r="G236" s="138">
        <f>'Inventario Detallado'!G241</f>
        <v/>
      </c>
      <c r="H236" s="139" t="n">
        <v>74</v>
      </c>
      <c r="I236" s="139" t="n">
        <v>145</v>
      </c>
      <c r="J236" s="135" t="inlineStr">
        <is>
          <t>Disponible</t>
        </is>
      </c>
    </row>
    <row r="237">
      <c r="A237" s="135" t="inlineStr">
        <is>
          <t>L241</t>
        </is>
      </c>
      <c r="B237" s="136" t="inlineStr">
        <is>
          <t>Lote 241</t>
        </is>
      </c>
      <c r="C237" s="135" t="inlineStr">
        <is>
          <t>M23</t>
        </is>
      </c>
      <c r="D237" s="136" t="inlineStr">
        <is>
          <t>Lote Tiny House</t>
        </is>
      </c>
      <c r="E237" s="137">
        <f>'Inventario Detallado'!E242</f>
        <v/>
      </c>
      <c r="F237" s="135" t="inlineStr">
        <is>
          <t>12.11m x 9.76m</t>
        </is>
      </c>
      <c r="G237" s="138">
        <f>'Inventario Detallado'!G242</f>
        <v/>
      </c>
      <c r="H237" s="139" t="n">
        <v>74</v>
      </c>
      <c r="I237" s="139" t="n">
        <v>145</v>
      </c>
      <c r="J237" s="135" t="inlineStr">
        <is>
          <t>Disponible</t>
        </is>
      </c>
    </row>
    <row r="238">
      <c r="A238" s="135" t="inlineStr">
        <is>
          <t>L242</t>
        </is>
      </c>
      <c r="B238" s="136" t="inlineStr">
        <is>
          <t>Lote 242</t>
        </is>
      </c>
      <c r="C238" s="135" t="inlineStr">
        <is>
          <t>M23</t>
        </is>
      </c>
      <c r="D238" s="136" t="inlineStr">
        <is>
          <t>Lote Tiny House</t>
        </is>
      </c>
      <c r="E238" s="137">
        <f>'Inventario Detallado'!E243</f>
        <v/>
      </c>
      <c r="F238" s="135" t="inlineStr">
        <is>
          <t>12.11m x 9.77m</t>
        </is>
      </c>
      <c r="G238" s="138">
        <f>'Inventario Detallado'!G243</f>
        <v/>
      </c>
      <c r="H238" s="139" t="n">
        <v>74</v>
      </c>
      <c r="I238" s="139" t="n">
        <v>134</v>
      </c>
      <c r="J238" s="135" t="inlineStr">
        <is>
          <t>Disponible</t>
        </is>
      </c>
    </row>
    <row r="239">
      <c r="A239" s="135" t="inlineStr">
        <is>
          <t>L243</t>
        </is>
      </c>
      <c r="B239" s="136" t="inlineStr">
        <is>
          <t>Lote 243</t>
        </is>
      </c>
      <c r="C239" s="135" t="inlineStr">
        <is>
          <t>M24</t>
        </is>
      </c>
      <c r="D239" s="136" t="inlineStr">
        <is>
          <t>Lote Tiny House</t>
        </is>
      </c>
      <c r="E239" s="137">
        <f>'Inventario Detallado'!E244</f>
        <v/>
      </c>
      <c r="F239" s="135" t="inlineStr">
        <is>
          <t>12.58m x 9.78m</t>
        </is>
      </c>
      <c r="G239" s="138">
        <f>'Inventario Detallado'!G244</f>
        <v/>
      </c>
      <c r="H239" s="139" t="n">
        <v>64</v>
      </c>
      <c r="I239" s="139" t="n">
        <v>116</v>
      </c>
      <c r="J239" s="135" t="inlineStr">
        <is>
          <t>Disponible</t>
        </is>
      </c>
    </row>
    <row r="240">
      <c r="A240" s="135" t="inlineStr">
        <is>
          <t>L244</t>
        </is>
      </c>
      <c r="B240" s="136" t="inlineStr">
        <is>
          <t>Lote 244</t>
        </is>
      </c>
      <c r="C240" s="135" t="inlineStr">
        <is>
          <t>M24</t>
        </is>
      </c>
      <c r="D240" s="136" t="inlineStr">
        <is>
          <t>Lote Tiny House</t>
        </is>
      </c>
      <c r="E240" s="137">
        <f>'Inventario Detallado'!E245</f>
        <v/>
      </c>
      <c r="F240" s="135" t="inlineStr">
        <is>
          <t>12.58m x 9.75m</t>
        </is>
      </c>
      <c r="G240" s="138">
        <f>'Inventario Detallado'!G245</f>
        <v/>
      </c>
      <c r="H240" s="139" t="n">
        <v>64</v>
      </c>
      <c r="I240" s="139" t="n">
        <v>104</v>
      </c>
      <c r="J240" s="135" t="inlineStr">
        <is>
          <t>Disponible</t>
        </is>
      </c>
    </row>
    <row r="241">
      <c r="A241" s="135" t="inlineStr">
        <is>
          <t>L245</t>
        </is>
      </c>
      <c r="B241" s="136" t="inlineStr">
        <is>
          <t>Lote 245</t>
        </is>
      </c>
      <c r="C241" s="135" t="inlineStr">
        <is>
          <t>M24</t>
        </is>
      </c>
      <c r="D241" s="136" t="inlineStr">
        <is>
          <t>Lote Tiny House</t>
        </is>
      </c>
      <c r="E241" s="137">
        <f>'Inventario Detallado'!E246</f>
        <v/>
      </c>
      <c r="F241" s="135" t="inlineStr">
        <is>
          <t>12.58m x 9.73m</t>
        </is>
      </c>
      <c r="G241" s="138">
        <f>'Inventario Detallado'!G246</f>
        <v/>
      </c>
      <c r="H241" s="139" t="n">
        <v>62</v>
      </c>
      <c r="I241" s="139" t="n">
        <v>91</v>
      </c>
      <c r="J241" s="135" t="inlineStr">
        <is>
          <t>Disponible</t>
        </is>
      </c>
    </row>
    <row r="242">
      <c r="A242" s="135" t="inlineStr">
        <is>
          <t>L246</t>
        </is>
      </c>
      <c r="B242" s="136" t="inlineStr">
        <is>
          <t>Lote 246</t>
        </is>
      </c>
      <c r="C242" s="135" t="inlineStr">
        <is>
          <t>M24</t>
        </is>
      </c>
      <c r="D242" s="136" t="inlineStr">
        <is>
          <t>Lote Tiny House</t>
        </is>
      </c>
      <c r="E242" s="137">
        <f>'Inventario Detallado'!E247</f>
        <v/>
      </c>
      <c r="F242" s="135" t="inlineStr">
        <is>
          <t>12.58m x 9.71m</t>
        </is>
      </c>
      <c r="G242" s="138">
        <f>'Inventario Detallado'!G247</f>
        <v/>
      </c>
      <c r="H242" s="139" t="n">
        <v>62</v>
      </c>
      <c r="I242" s="139" t="n">
        <v>79</v>
      </c>
      <c r="J242" s="135" t="inlineStr">
        <is>
          <t>Disponible</t>
        </is>
      </c>
    </row>
    <row r="243">
      <c r="A243" s="135" t="inlineStr">
        <is>
          <t>L247</t>
        </is>
      </c>
      <c r="B243" s="136" t="inlineStr">
        <is>
          <t>Lote 247</t>
        </is>
      </c>
      <c r="C243" s="135" t="inlineStr">
        <is>
          <t>M24</t>
        </is>
      </c>
      <c r="D243" s="136" t="inlineStr">
        <is>
          <t>Lote Tiny House</t>
        </is>
      </c>
      <c r="E243" s="137">
        <f>'Inventario Detallado'!E248</f>
        <v/>
      </c>
      <c r="F243" s="135" t="inlineStr">
        <is>
          <t>12.59m x 9.70m</t>
        </is>
      </c>
      <c r="G243" s="138">
        <f>'Inventario Detallado'!G248</f>
        <v/>
      </c>
      <c r="H243" s="139" t="n">
        <v>61</v>
      </c>
      <c r="I243" s="139" t="n">
        <v>65</v>
      </c>
      <c r="J243" s="135" t="inlineStr">
        <is>
          <t>Disponible</t>
        </is>
      </c>
    </row>
    <row r="244">
      <c r="A244" s="135" t="inlineStr">
        <is>
          <t>L248</t>
        </is>
      </c>
      <c r="B244" s="136" t="inlineStr">
        <is>
          <t>Lote 248</t>
        </is>
      </c>
      <c r="C244" s="135" t="inlineStr">
        <is>
          <t>M24</t>
        </is>
      </c>
      <c r="D244" s="136" t="inlineStr">
        <is>
          <t>Lote Tiny House</t>
        </is>
      </c>
      <c r="E244" s="137">
        <f>'Inventario Detallado'!E249</f>
        <v/>
      </c>
      <c r="F244" s="135" t="inlineStr">
        <is>
          <t>12.59m x 9.71m</t>
        </is>
      </c>
      <c r="G244" s="138">
        <f>'Inventario Detallado'!G249</f>
        <v/>
      </c>
      <c r="H244" s="139" t="n">
        <v>61</v>
      </c>
      <c r="I244" s="139" t="n">
        <v>53</v>
      </c>
      <c r="J244" s="135" t="inlineStr">
        <is>
          <t>Disponible</t>
        </is>
      </c>
    </row>
    <row r="245">
      <c r="A245" s="135" t="inlineStr">
        <is>
          <t>L249</t>
        </is>
      </c>
      <c r="B245" s="136" t="inlineStr">
        <is>
          <t>Lote 249</t>
        </is>
      </c>
      <c r="C245" s="135" t="inlineStr">
        <is>
          <t>M24</t>
        </is>
      </c>
      <c r="D245" s="136" t="inlineStr">
        <is>
          <t>Lote Tiny House</t>
        </is>
      </c>
      <c r="E245" s="137">
        <f>'Inventario Detallado'!E250</f>
        <v/>
      </c>
      <c r="F245" s="135" t="inlineStr">
        <is>
          <t>12.59m x 9.74m</t>
        </is>
      </c>
      <c r="G245" s="138">
        <f>'Inventario Detallado'!G250</f>
        <v/>
      </c>
      <c r="H245" s="139" t="n">
        <v>61</v>
      </c>
      <c r="I245" s="139" t="n">
        <v>40</v>
      </c>
      <c r="J245" s="135" t="inlineStr">
        <is>
          <t>Disponible</t>
        </is>
      </c>
    </row>
    <row r="246">
      <c r="A246" s="135" t="inlineStr">
        <is>
          <t>L250</t>
        </is>
      </c>
      <c r="B246" s="136" t="inlineStr">
        <is>
          <t>Lote 250</t>
        </is>
      </c>
      <c r="C246" s="135" t="inlineStr">
        <is>
          <t>M24</t>
        </is>
      </c>
      <c r="D246" s="136" t="inlineStr">
        <is>
          <t>Lote Tiny House</t>
        </is>
      </c>
      <c r="E246" s="137">
        <f>'Inventario Detallado'!E251</f>
        <v/>
      </c>
      <c r="F246" s="135" t="inlineStr">
        <is>
          <t>12.59m x 9.77m</t>
        </is>
      </c>
      <c r="G246" s="138">
        <f>'Inventario Detallado'!G251</f>
        <v/>
      </c>
      <c r="H246" s="139" t="n">
        <v>61</v>
      </c>
      <c r="I246" s="139" t="n">
        <v>28</v>
      </c>
      <c r="J246" s="135" t="inlineStr">
        <is>
          <t>Disponible</t>
        </is>
      </c>
    </row>
    <row r="247">
      <c r="A247" s="135" t="inlineStr">
        <is>
          <t>L251</t>
        </is>
      </c>
      <c r="B247" s="136" t="inlineStr">
        <is>
          <t>Lote 251</t>
        </is>
      </c>
      <c r="C247" s="135" t="inlineStr">
        <is>
          <t>M24</t>
        </is>
      </c>
      <c r="D247" s="136" t="inlineStr">
        <is>
          <t>Lote Tiny House</t>
        </is>
      </c>
      <c r="E247" s="137">
        <f>'Inventario Detallado'!E252</f>
        <v/>
      </c>
      <c r="F247" s="135" t="inlineStr">
        <is>
          <t>12.59m x 9.82m</t>
        </is>
      </c>
      <c r="G247" s="138">
        <f>'Inventario Detallado'!G252</f>
        <v/>
      </c>
      <c r="H247" s="139" t="n">
        <v>62</v>
      </c>
      <c r="I247" s="139" t="n">
        <v>15</v>
      </c>
      <c r="J247" s="135" t="inlineStr">
        <is>
          <t>Disponible</t>
        </is>
      </c>
    </row>
    <row r="248">
      <c r="A248" s="135" t="inlineStr">
        <is>
          <t>L252</t>
        </is>
      </c>
      <c r="B248" s="136" t="inlineStr">
        <is>
          <t>Lote 252</t>
        </is>
      </c>
      <c r="C248" s="135" t="inlineStr">
        <is>
          <t>M24</t>
        </is>
      </c>
      <c r="D248" s="136" t="inlineStr">
        <is>
          <t>Lote Tiny House</t>
        </is>
      </c>
      <c r="E248" s="137">
        <f>'Inventario Detallado'!E253</f>
        <v/>
      </c>
      <c r="F248" s="135" t="inlineStr">
        <is>
          <t>12.58m x 9.78m</t>
        </is>
      </c>
      <c r="G248" s="138">
        <f>'Inventario Detallado'!G253</f>
        <v/>
      </c>
      <c r="H248" s="139" t="n">
        <v>74</v>
      </c>
      <c r="I248" s="139" t="n">
        <v>116</v>
      </c>
      <c r="J248" s="135" t="inlineStr">
        <is>
          <t>Disponible</t>
        </is>
      </c>
    </row>
    <row r="249">
      <c r="A249" s="135" t="inlineStr">
        <is>
          <t>L253</t>
        </is>
      </c>
      <c r="B249" s="136" t="inlineStr">
        <is>
          <t>Lote 253</t>
        </is>
      </c>
      <c r="C249" s="135" t="inlineStr">
        <is>
          <t>M24</t>
        </is>
      </c>
      <c r="D249" s="136" t="inlineStr">
        <is>
          <t>Lote Tiny House</t>
        </is>
      </c>
      <c r="E249" s="137">
        <f>'Inventario Detallado'!E254</f>
        <v/>
      </c>
      <c r="F249" s="135" t="inlineStr">
        <is>
          <t>12.58m x 9.75m</t>
        </is>
      </c>
      <c r="G249" s="138">
        <f>'Inventario Detallado'!G254</f>
        <v/>
      </c>
      <c r="H249" s="139" t="n">
        <v>73</v>
      </c>
      <c r="I249" s="139" t="n">
        <v>104</v>
      </c>
      <c r="J249" s="135" t="inlineStr">
        <is>
          <t>Disponible</t>
        </is>
      </c>
    </row>
    <row r="250">
      <c r="A250" s="135" t="inlineStr">
        <is>
          <t>L254</t>
        </is>
      </c>
      <c r="B250" s="136" t="inlineStr">
        <is>
          <t>Lote 254</t>
        </is>
      </c>
      <c r="C250" s="135" t="inlineStr">
        <is>
          <t>M24</t>
        </is>
      </c>
      <c r="D250" s="136" t="inlineStr">
        <is>
          <t>Lote Tiny House</t>
        </is>
      </c>
      <c r="E250" s="137">
        <f>'Inventario Detallado'!E255</f>
        <v/>
      </c>
      <c r="F250" s="135" t="inlineStr">
        <is>
          <t>12.58m x 9.73m</t>
        </is>
      </c>
      <c r="G250" s="138">
        <f>'Inventario Detallado'!G255</f>
        <v/>
      </c>
      <c r="H250" s="139" t="n">
        <v>72</v>
      </c>
      <c r="I250" s="139" t="n">
        <v>91</v>
      </c>
      <c r="J250" s="135" t="inlineStr">
        <is>
          <t>Disponible</t>
        </is>
      </c>
    </row>
    <row r="251">
      <c r="A251" s="135" t="inlineStr">
        <is>
          <t>L255</t>
        </is>
      </c>
      <c r="B251" s="136" t="inlineStr">
        <is>
          <t>Lote 255</t>
        </is>
      </c>
      <c r="C251" s="135" t="inlineStr">
        <is>
          <t>M24</t>
        </is>
      </c>
      <c r="D251" s="136" t="inlineStr">
        <is>
          <t>Lote Tiny House</t>
        </is>
      </c>
      <c r="E251" s="137">
        <f>'Inventario Detallado'!E256</f>
        <v/>
      </c>
      <c r="F251" s="135" t="inlineStr">
        <is>
          <t>12.58m x 9.71m</t>
        </is>
      </c>
      <c r="G251" s="138">
        <f>'Inventario Detallado'!G256</f>
        <v/>
      </c>
      <c r="H251" s="139" t="n">
        <v>71</v>
      </c>
      <c r="I251" s="139" t="n">
        <v>79</v>
      </c>
      <c r="J251" s="135" t="inlineStr">
        <is>
          <t>Disponible</t>
        </is>
      </c>
    </row>
    <row r="252">
      <c r="A252" s="135" t="inlineStr">
        <is>
          <t>L256</t>
        </is>
      </c>
      <c r="B252" s="136" t="inlineStr">
        <is>
          <t>Lote 256</t>
        </is>
      </c>
      <c r="C252" s="135" t="inlineStr">
        <is>
          <t>M24</t>
        </is>
      </c>
      <c r="D252" s="136" t="inlineStr">
        <is>
          <t>Lote Tiny House</t>
        </is>
      </c>
      <c r="E252" s="137">
        <f>'Inventario Detallado'!E257</f>
        <v/>
      </c>
      <c r="F252" s="135" t="inlineStr">
        <is>
          <t>12.59m x 9.70m</t>
        </is>
      </c>
      <c r="G252" s="138">
        <f>'Inventario Detallado'!G257</f>
        <v/>
      </c>
      <c r="H252" s="139" t="n">
        <v>71</v>
      </c>
      <c r="I252" s="139" t="n">
        <v>66</v>
      </c>
      <c r="J252" s="135" t="inlineStr">
        <is>
          <t>Disponible</t>
        </is>
      </c>
    </row>
    <row r="253">
      <c r="A253" s="135" t="inlineStr">
        <is>
          <t>L257</t>
        </is>
      </c>
      <c r="B253" s="136" t="inlineStr">
        <is>
          <t>Lote 257</t>
        </is>
      </c>
      <c r="C253" s="135" t="inlineStr">
        <is>
          <t>M24</t>
        </is>
      </c>
      <c r="D253" s="136" t="inlineStr">
        <is>
          <t>Lote Tiny House</t>
        </is>
      </c>
      <c r="E253" s="137">
        <f>'Inventario Detallado'!E258</f>
        <v/>
      </c>
      <c r="F253" s="135" t="inlineStr">
        <is>
          <t>12.59m x 9.71m</t>
        </is>
      </c>
      <c r="G253" s="138">
        <f>'Inventario Detallado'!G258</f>
        <v/>
      </c>
      <c r="H253" s="139" t="n">
        <v>70</v>
      </c>
      <c r="I253" s="139" t="n">
        <v>53</v>
      </c>
      <c r="J253" s="135" t="inlineStr">
        <is>
          <t>Disponible</t>
        </is>
      </c>
    </row>
    <row r="254">
      <c r="A254" s="135" t="inlineStr">
        <is>
          <t>L258</t>
        </is>
      </c>
      <c r="B254" s="136" t="inlineStr">
        <is>
          <t>Lote 258</t>
        </is>
      </c>
      <c r="C254" s="135" t="inlineStr">
        <is>
          <t>M24</t>
        </is>
      </c>
      <c r="D254" s="136" t="inlineStr">
        <is>
          <t>Lote Tiny House</t>
        </is>
      </c>
      <c r="E254" s="137">
        <f>'Inventario Detallado'!E259</f>
        <v/>
      </c>
      <c r="F254" s="135" t="inlineStr">
        <is>
          <t>12.59m x 9.74m</t>
        </is>
      </c>
      <c r="G254" s="138">
        <f>'Inventario Detallado'!G259</f>
        <v/>
      </c>
      <c r="H254" s="139" t="n">
        <v>71</v>
      </c>
      <c r="I254" s="139" t="n">
        <v>40</v>
      </c>
      <c r="J254" s="135" t="inlineStr">
        <is>
          <t>Disponible</t>
        </is>
      </c>
    </row>
    <row r="255">
      <c r="A255" s="135" t="inlineStr">
        <is>
          <t>L259</t>
        </is>
      </c>
      <c r="B255" s="136" t="inlineStr">
        <is>
          <t>Lote 259</t>
        </is>
      </c>
      <c r="C255" s="135" t="inlineStr">
        <is>
          <t>M24</t>
        </is>
      </c>
      <c r="D255" s="136" t="inlineStr">
        <is>
          <t>Lote Tiny House</t>
        </is>
      </c>
      <c r="E255" s="137">
        <f>'Inventario Detallado'!E260</f>
        <v/>
      </c>
      <c r="F255" s="135" t="inlineStr">
        <is>
          <t>12.59m x 9.77m</t>
        </is>
      </c>
      <c r="G255" s="138">
        <f>'Inventario Detallado'!G260</f>
        <v/>
      </c>
      <c r="H255" s="139" t="n">
        <v>71</v>
      </c>
      <c r="I255" s="139" t="n">
        <v>28</v>
      </c>
      <c r="J255" s="135" t="inlineStr">
        <is>
          <t>Disponible</t>
        </is>
      </c>
    </row>
    <row r="256">
      <c r="A256" s="135" t="inlineStr">
        <is>
          <t>L260</t>
        </is>
      </c>
      <c r="B256" s="136" t="inlineStr">
        <is>
          <t>Lote 260</t>
        </is>
      </c>
      <c r="C256" s="135" t="inlineStr">
        <is>
          <t>M24</t>
        </is>
      </c>
      <c r="D256" s="136" t="inlineStr">
        <is>
          <t>Lote Tiny House</t>
        </is>
      </c>
      <c r="E256" s="137">
        <f>'Inventario Detallado'!E261</f>
        <v/>
      </c>
      <c r="F256" s="135" t="inlineStr">
        <is>
          <t>12.59m x 9.82m</t>
        </is>
      </c>
      <c r="G256" s="138">
        <f>'Inventario Detallado'!G261</f>
        <v/>
      </c>
      <c r="H256" s="139" t="n">
        <v>72</v>
      </c>
      <c r="I256" s="139" t="n">
        <v>15</v>
      </c>
      <c r="J256" s="135" t="inlineStr">
        <is>
          <t>Disponible</t>
        </is>
      </c>
    </row>
    <row r="257">
      <c r="A257" s="135" t="inlineStr">
        <is>
          <t>L261</t>
        </is>
      </c>
      <c r="B257" s="136" t="inlineStr">
        <is>
          <t>Lote 261</t>
        </is>
      </c>
      <c r="C257" s="135" t="inlineStr">
        <is>
          <t>M25</t>
        </is>
      </c>
      <c r="D257" s="136" t="inlineStr">
        <is>
          <t>Lote Estándar</t>
        </is>
      </c>
      <c r="E257" s="137">
        <f>'Inventario Detallado'!E262</f>
        <v/>
      </c>
      <c r="F257" s="135" t="inlineStr">
        <is>
          <t>12.21m x 13.06m</t>
        </is>
      </c>
      <c r="G257" s="138">
        <f>'Inventario Detallado'!G262</f>
        <v/>
      </c>
      <c r="H257" s="139" t="n">
        <v>89</v>
      </c>
      <c r="I257" s="139" t="n">
        <v>15</v>
      </c>
      <c r="J257" s="135" t="inlineStr">
        <is>
          <t>Disponible</t>
        </is>
      </c>
    </row>
    <row r="258">
      <c r="A258" s="135" t="inlineStr">
        <is>
          <t>L262</t>
        </is>
      </c>
      <c r="B258" s="136" t="inlineStr">
        <is>
          <t>Lote 262</t>
        </is>
      </c>
      <c r="C258" s="135" t="inlineStr">
        <is>
          <t>M25</t>
        </is>
      </c>
      <c r="D258" s="136" t="inlineStr">
        <is>
          <t>Lote Estándar</t>
        </is>
      </c>
      <c r="E258" s="137">
        <f>'Inventario Detallado'!E263</f>
        <v/>
      </c>
      <c r="F258" s="135" t="inlineStr">
        <is>
          <t>12.21m x 13.04m</t>
        </is>
      </c>
      <c r="G258" s="138">
        <f>'Inventario Detallado'!G263</f>
        <v/>
      </c>
      <c r="H258" s="139" t="n">
        <v>89</v>
      </c>
      <c r="I258" s="139" t="n">
        <v>27</v>
      </c>
      <c r="J258" s="135" t="inlineStr">
        <is>
          <t>Disponible</t>
        </is>
      </c>
    </row>
    <row r="259">
      <c r="A259" s="135" t="inlineStr">
        <is>
          <t>L263</t>
        </is>
      </c>
      <c r="B259" s="136" t="inlineStr">
        <is>
          <t>Lote 263</t>
        </is>
      </c>
      <c r="C259" s="135" t="inlineStr">
        <is>
          <t>M25</t>
        </is>
      </c>
      <c r="D259" s="136" t="inlineStr">
        <is>
          <t>Lote Estándar</t>
        </is>
      </c>
      <c r="E259" s="137">
        <f>'Inventario Detallado'!E264</f>
        <v/>
      </c>
      <c r="F259" s="135" t="inlineStr">
        <is>
          <t>12.21m x 13.04m</t>
        </is>
      </c>
      <c r="G259" s="138">
        <f>'Inventario Detallado'!G264</f>
        <v/>
      </c>
      <c r="H259" s="139" t="n">
        <v>88</v>
      </c>
      <c r="I259" s="139" t="n">
        <v>39</v>
      </c>
      <c r="J259" s="135" t="inlineStr">
        <is>
          <t>Disponible</t>
        </is>
      </c>
    </row>
    <row r="260">
      <c r="A260" s="135" t="inlineStr">
        <is>
          <t>L264</t>
        </is>
      </c>
      <c r="B260" s="136" t="inlineStr">
        <is>
          <t>Lote 264</t>
        </is>
      </c>
      <c r="C260" s="135" t="inlineStr">
        <is>
          <t>M25</t>
        </is>
      </c>
      <c r="D260" s="136" t="inlineStr">
        <is>
          <t>Lote Estándar</t>
        </is>
      </c>
      <c r="E260" s="137">
        <f>'Inventario Detallado'!E265</f>
        <v/>
      </c>
      <c r="F260" s="135" t="inlineStr">
        <is>
          <t>12.23m x 13.05m</t>
        </is>
      </c>
      <c r="G260" s="138">
        <f>'Inventario Detallado'!G265</f>
        <v/>
      </c>
      <c r="H260" s="139" t="n">
        <v>88</v>
      </c>
      <c r="I260" s="139" t="n">
        <v>52</v>
      </c>
      <c r="J260" s="135" t="inlineStr">
        <is>
          <t>Disponible</t>
        </is>
      </c>
    </row>
    <row r="261">
      <c r="A261" s="135" t="inlineStr">
        <is>
          <t>L265</t>
        </is>
      </c>
      <c r="B261" s="136" t="inlineStr">
        <is>
          <t>Lote 265</t>
        </is>
      </c>
      <c r="C261" s="135" t="inlineStr">
        <is>
          <t>M25</t>
        </is>
      </c>
      <c r="D261" s="136" t="inlineStr">
        <is>
          <t>Lote Estándar</t>
        </is>
      </c>
      <c r="E261" s="137">
        <f>'Inventario Detallado'!E266</f>
        <v/>
      </c>
      <c r="F261" s="135" t="inlineStr">
        <is>
          <t>12.23m x 13.09m</t>
        </is>
      </c>
      <c r="G261" s="138">
        <f>'Inventario Detallado'!G266</f>
        <v/>
      </c>
      <c r="H261" s="139" t="n">
        <v>88</v>
      </c>
      <c r="I261" s="139" t="n">
        <v>64</v>
      </c>
      <c r="J261" s="135" t="inlineStr">
        <is>
          <t>Disponible</t>
        </is>
      </c>
    </row>
    <row r="262">
      <c r="A262" s="135" t="inlineStr">
        <is>
          <t>L266</t>
        </is>
      </c>
      <c r="B262" s="136" t="inlineStr">
        <is>
          <t>Lote 266</t>
        </is>
      </c>
      <c r="C262" s="135" t="inlineStr">
        <is>
          <t>M25</t>
        </is>
      </c>
      <c r="D262" s="136" t="inlineStr">
        <is>
          <t>Lote Estándar</t>
        </is>
      </c>
      <c r="E262" s="137">
        <f>'Inventario Detallado'!E267</f>
        <v/>
      </c>
      <c r="F262" s="135" t="inlineStr">
        <is>
          <t>12.23m x 13.14m</t>
        </is>
      </c>
      <c r="G262" s="138">
        <f>'Inventario Detallado'!G267</f>
        <v/>
      </c>
      <c r="H262" s="139" t="n">
        <v>88</v>
      </c>
      <c r="I262" s="139" t="n">
        <v>76</v>
      </c>
      <c r="J262" s="135" t="inlineStr">
        <is>
          <t>Disponible</t>
        </is>
      </c>
    </row>
    <row r="263">
      <c r="A263" s="135" t="inlineStr">
        <is>
          <t>L267</t>
        </is>
      </c>
      <c r="B263" s="136" t="inlineStr">
        <is>
          <t>Lote 267</t>
        </is>
      </c>
      <c r="C263" s="135" t="inlineStr">
        <is>
          <t>M25</t>
        </is>
      </c>
      <c r="D263" s="136" t="inlineStr">
        <is>
          <t>Lote Estándar</t>
        </is>
      </c>
      <c r="E263" s="137">
        <f>'Inventario Detallado'!E268</f>
        <v/>
      </c>
      <c r="F263" s="135" t="inlineStr">
        <is>
          <t>12.23m x 13.20m</t>
        </is>
      </c>
      <c r="G263" s="138">
        <f>'Inventario Detallado'!G268</f>
        <v/>
      </c>
      <c r="H263" s="139" t="n">
        <v>89</v>
      </c>
      <c r="I263" s="139" t="n">
        <v>88</v>
      </c>
      <c r="J263" s="135" t="inlineStr">
        <is>
          <t>Disponible</t>
        </is>
      </c>
    </row>
    <row r="264">
      <c r="A264" s="135" t="inlineStr">
        <is>
          <t>L268</t>
        </is>
      </c>
      <c r="B264" s="136" t="inlineStr">
        <is>
          <t>Lote 268</t>
        </is>
      </c>
      <c r="C264" s="135" t="inlineStr">
        <is>
          <t>M26</t>
        </is>
      </c>
      <c r="D264" s="136" t="inlineStr">
        <is>
          <t>Lote Estándar</t>
        </is>
      </c>
      <c r="E264" s="137">
        <f>'Inventario Detallado'!E269</f>
        <v/>
      </c>
      <c r="F264" s="135" t="inlineStr">
        <is>
          <t>12.12m x 13.30m</t>
        </is>
      </c>
      <c r="G264" s="138">
        <f>'Inventario Detallado'!G269</f>
        <v/>
      </c>
      <c r="H264" s="139" t="n">
        <v>91</v>
      </c>
      <c r="I264" s="139" t="n">
        <v>105</v>
      </c>
      <c r="J264" s="135" t="inlineStr">
        <is>
          <t>Disponible</t>
        </is>
      </c>
    </row>
    <row r="265">
      <c r="A265" s="135" t="inlineStr">
        <is>
          <t>L269</t>
        </is>
      </c>
      <c r="B265" s="136" t="inlineStr">
        <is>
          <t>Lote 269</t>
        </is>
      </c>
      <c r="C265" s="135" t="inlineStr">
        <is>
          <t>M26</t>
        </is>
      </c>
      <c r="D265" s="136" t="inlineStr">
        <is>
          <t>Lote Estándar</t>
        </is>
      </c>
      <c r="E265" s="137">
        <f>'Inventario Detallado'!E270</f>
        <v/>
      </c>
      <c r="F265" s="135" t="inlineStr">
        <is>
          <t>12.12m x 13.34m</t>
        </is>
      </c>
      <c r="G265" s="138">
        <f>'Inventario Detallado'!G270</f>
        <v/>
      </c>
      <c r="H265" s="139" t="n">
        <v>92</v>
      </c>
      <c r="I265" s="139" t="n">
        <v>117</v>
      </c>
      <c r="J265" s="135" t="inlineStr">
        <is>
          <t>Disponible</t>
        </is>
      </c>
    </row>
    <row r="266">
      <c r="A266" s="135" t="inlineStr">
        <is>
          <t>L270</t>
        </is>
      </c>
      <c r="B266" s="136" t="inlineStr">
        <is>
          <t>Lote 270</t>
        </is>
      </c>
      <c r="C266" s="135" t="inlineStr">
        <is>
          <t>M26</t>
        </is>
      </c>
      <c r="D266" s="136" t="inlineStr">
        <is>
          <t>Lote Estándar</t>
        </is>
      </c>
      <c r="E266" s="137">
        <f>'Inventario Detallado'!E271</f>
        <v/>
      </c>
      <c r="F266" s="135" t="inlineStr">
        <is>
          <t>12.12m x 13.36m</t>
        </is>
      </c>
      <c r="G266" s="138">
        <f>'Inventario Detallado'!G271</f>
        <v/>
      </c>
      <c r="H266" s="139" t="n">
        <v>93</v>
      </c>
      <c r="I266" s="139" t="n">
        <v>129</v>
      </c>
      <c r="J266" s="135" t="inlineStr">
        <is>
          <t>Disponible</t>
        </is>
      </c>
    </row>
    <row r="267">
      <c r="A267" s="135" t="inlineStr">
        <is>
          <t>L271</t>
        </is>
      </c>
      <c r="B267" s="136" t="inlineStr">
        <is>
          <t>Lote 271</t>
        </is>
      </c>
      <c r="C267" s="135" t="inlineStr">
        <is>
          <t>M26</t>
        </is>
      </c>
      <c r="D267" s="136" t="inlineStr">
        <is>
          <t>Lote Estándar</t>
        </is>
      </c>
      <c r="E267" s="137">
        <f>'Inventario Detallado'!E272</f>
        <v/>
      </c>
      <c r="F267" s="135" t="inlineStr">
        <is>
          <t>12.12m x 13.38m</t>
        </is>
      </c>
      <c r="G267" s="138">
        <f>'Inventario Detallado'!G272</f>
        <v/>
      </c>
      <c r="H267" s="139" t="n">
        <v>93</v>
      </c>
      <c r="I267" s="139" t="n">
        <v>142</v>
      </c>
      <c r="J267" s="135" t="inlineStr">
        <is>
          <t>Disponible</t>
        </is>
      </c>
    </row>
    <row r="268">
      <c r="A268" s="135" t="inlineStr">
        <is>
          <t>L272</t>
        </is>
      </c>
      <c r="B268" s="136" t="inlineStr">
        <is>
          <t>Lote 272</t>
        </is>
      </c>
      <c r="C268" s="135" t="inlineStr">
        <is>
          <t>M26</t>
        </is>
      </c>
      <c r="D268" s="136" t="inlineStr">
        <is>
          <t>Lote Estándar</t>
        </is>
      </c>
      <c r="E268" s="137">
        <f>'Inventario Detallado'!E273</f>
        <v/>
      </c>
      <c r="F268" s="135" t="inlineStr">
        <is>
          <t>12.12m x 13.39m</t>
        </is>
      </c>
      <c r="G268" s="138">
        <f>'Inventario Detallado'!G273</f>
        <v/>
      </c>
      <c r="H268" s="139" t="n">
        <v>93</v>
      </c>
      <c r="I268" s="139" t="n">
        <v>145</v>
      </c>
      <c r="J268" s="135" t="inlineStr">
        <is>
          <t>Disponible</t>
        </is>
      </c>
    </row>
    <row r="269">
      <c r="A269" s="135" t="inlineStr">
        <is>
          <t>L273</t>
        </is>
      </c>
      <c r="B269" s="136" t="inlineStr">
        <is>
          <t>Lote 273</t>
        </is>
      </c>
      <c r="C269" s="135" t="inlineStr">
        <is>
          <t>M26</t>
        </is>
      </c>
      <c r="D269" s="136" t="inlineStr">
        <is>
          <t>Lote Estándar</t>
        </is>
      </c>
      <c r="E269" s="137">
        <f>'Inventario Detallado'!E274</f>
        <v/>
      </c>
      <c r="F269" s="135" t="inlineStr">
        <is>
          <t>12.12m x 13.41m</t>
        </is>
      </c>
      <c r="G269" s="138">
        <f>'Inventario Detallado'!G274</f>
        <v/>
      </c>
      <c r="H269" s="139" t="n">
        <v>93</v>
      </c>
      <c r="I269" s="139" t="n">
        <v>145</v>
      </c>
      <c r="J269" s="135" t="inlineStr">
        <is>
          <t>Disponible</t>
        </is>
      </c>
    </row>
    <row r="270">
      <c r="A270" s="135" t="inlineStr">
        <is>
          <t>L274</t>
        </is>
      </c>
      <c r="B270" s="136" t="inlineStr">
        <is>
          <t>Lote 274</t>
        </is>
      </c>
      <c r="C270" s="135" t="inlineStr">
        <is>
          <t>M26</t>
        </is>
      </c>
      <c r="D270" s="136" t="inlineStr">
        <is>
          <t>Lote Estándar</t>
        </is>
      </c>
      <c r="E270" s="137">
        <f>'Inventario Detallado'!E275</f>
        <v/>
      </c>
      <c r="F270" s="135" t="inlineStr">
        <is>
          <t>12.12m x 13.43m</t>
        </is>
      </c>
      <c r="G270" s="138">
        <f>'Inventario Detallado'!G275</f>
        <v/>
      </c>
      <c r="H270" s="139" t="n">
        <v>94</v>
      </c>
      <c r="I270" s="139" t="n">
        <v>145</v>
      </c>
      <c r="J270" s="135" t="inlineStr">
        <is>
          <t>Disponible</t>
        </is>
      </c>
    </row>
    <row r="271">
      <c r="A271" s="135" t="inlineStr">
        <is>
          <t>L275</t>
        </is>
      </c>
      <c r="B271" s="136" t="inlineStr">
        <is>
          <t>Lote 275</t>
        </is>
      </c>
      <c r="C271" s="135" t="inlineStr">
        <is>
          <t>M26</t>
        </is>
      </c>
      <c r="D271" s="136" t="inlineStr">
        <is>
          <t>Lote Estándar</t>
        </is>
      </c>
      <c r="E271" s="137">
        <f>'Inventario Detallado'!E276</f>
        <v/>
      </c>
      <c r="F271" s="135" t="inlineStr">
        <is>
          <t>12.12m x 13.45m</t>
        </is>
      </c>
      <c r="G271" s="138">
        <f>'Inventario Detallado'!G276</f>
        <v/>
      </c>
      <c r="H271" s="139" t="n">
        <v>94</v>
      </c>
      <c r="I271" s="139" t="n">
        <v>145</v>
      </c>
      <c r="J271" s="135" t="inlineStr">
        <is>
          <t>Disponible</t>
        </is>
      </c>
    </row>
    <row r="272">
      <c r="A272" s="135" t="inlineStr">
        <is>
          <t>L276</t>
        </is>
      </c>
      <c r="B272" s="136" t="inlineStr">
        <is>
          <t>Lote 276</t>
        </is>
      </c>
      <c r="C272" s="135" t="inlineStr">
        <is>
          <t>M26</t>
        </is>
      </c>
      <c r="D272" s="136" t="inlineStr">
        <is>
          <t>Lote Estándar</t>
        </is>
      </c>
      <c r="E272" s="137">
        <f>'Inventario Detallado'!E277</f>
        <v/>
      </c>
      <c r="F272" s="135" t="inlineStr">
        <is>
          <t>12.12m x 13.46m</t>
        </is>
      </c>
      <c r="G272" s="138">
        <f>'Inventario Detallado'!G277</f>
        <v/>
      </c>
      <c r="H272" s="139" t="n">
        <v>94</v>
      </c>
      <c r="I272" s="139" t="n">
        <v>145</v>
      </c>
      <c r="J272" s="135" t="inlineStr">
        <is>
          <t>Disponible</t>
        </is>
      </c>
    </row>
    <row r="273">
      <c r="A273" s="135" t="inlineStr">
        <is>
          <t>L277</t>
        </is>
      </c>
      <c r="B273" s="136" t="inlineStr">
        <is>
          <t>Lote 277</t>
        </is>
      </c>
      <c r="C273" s="135" t="inlineStr">
        <is>
          <t>M26</t>
        </is>
      </c>
      <c r="D273" s="136" t="inlineStr">
        <is>
          <t>Lote Estándar</t>
        </is>
      </c>
      <c r="E273" s="137">
        <f>'Inventario Detallado'!E278</f>
        <v/>
      </c>
      <c r="F273" s="135" t="inlineStr">
        <is>
          <t>12.12m x 13.48m</t>
        </is>
      </c>
      <c r="G273" s="138">
        <f>'Inventario Detallado'!G278</f>
        <v/>
      </c>
      <c r="H273" s="139" t="n">
        <v>94</v>
      </c>
      <c r="I273" s="139" t="n">
        <v>134</v>
      </c>
      <c r="J273" s="135" t="inlineStr">
        <is>
          <t>Disponible</t>
        </is>
      </c>
    </row>
    <row r="274">
      <c r="A274" s="135" t="inlineStr">
        <is>
          <t>L278</t>
        </is>
      </c>
      <c r="B274" s="136" t="inlineStr">
        <is>
          <t>Lote 278</t>
        </is>
      </c>
      <c r="C274" s="135" t="inlineStr">
        <is>
          <t>M27</t>
        </is>
      </c>
      <c r="D274" s="136" t="inlineStr">
        <is>
          <t>Lote Estándar</t>
        </is>
      </c>
      <c r="E274" s="137">
        <f>'Inventario Detallado'!E279</f>
        <v/>
      </c>
      <c r="F274" s="135" t="inlineStr">
        <is>
          <t>12.59m x 13.49m</t>
        </is>
      </c>
      <c r="G274" s="138">
        <f>'Inventario Detallado'!G279</f>
        <v/>
      </c>
      <c r="H274" s="139" t="n">
        <v>94</v>
      </c>
      <c r="I274" s="139" t="n">
        <v>116</v>
      </c>
      <c r="J274" s="135" t="inlineStr">
        <is>
          <t>Disponible</t>
        </is>
      </c>
    </row>
    <row r="275">
      <c r="A275" s="135" t="inlineStr">
        <is>
          <t>L279</t>
        </is>
      </c>
      <c r="B275" s="136" t="inlineStr">
        <is>
          <t>Lote 279</t>
        </is>
      </c>
      <c r="C275" s="135" t="inlineStr">
        <is>
          <t>M27</t>
        </is>
      </c>
      <c r="D275" s="136" t="inlineStr">
        <is>
          <t>Lote Estándar</t>
        </is>
      </c>
      <c r="E275" s="137">
        <f>'Inventario Detallado'!E280</f>
        <v/>
      </c>
      <c r="F275" s="135" t="inlineStr">
        <is>
          <t>12.59m x 13.45m</t>
        </is>
      </c>
      <c r="G275" s="138">
        <f>'Inventario Detallado'!G280</f>
        <v/>
      </c>
      <c r="H275" s="139" t="n">
        <v>93</v>
      </c>
      <c r="I275" s="139" t="n">
        <v>104</v>
      </c>
      <c r="J275" s="135" t="inlineStr">
        <is>
          <t>Disponible</t>
        </is>
      </c>
    </row>
    <row r="276">
      <c r="A276" s="135" t="inlineStr">
        <is>
          <t>L280</t>
        </is>
      </c>
      <c r="B276" s="136" t="inlineStr">
        <is>
          <t>Lote 280</t>
        </is>
      </c>
      <c r="C276" s="135" t="inlineStr">
        <is>
          <t>M27</t>
        </is>
      </c>
      <c r="D276" s="136" t="inlineStr">
        <is>
          <t>Lote Estándar</t>
        </is>
      </c>
      <c r="E276" s="137">
        <f>'Inventario Detallado'!E281</f>
        <v/>
      </c>
      <c r="F276" s="135" t="inlineStr">
        <is>
          <t>12.59m x 13.42m</t>
        </is>
      </c>
      <c r="G276" s="138">
        <f>'Inventario Detallado'!G281</f>
        <v/>
      </c>
      <c r="H276" s="139" t="n">
        <v>92</v>
      </c>
      <c r="I276" s="139" t="n">
        <v>91</v>
      </c>
      <c r="J276" s="135" t="inlineStr">
        <is>
          <t>Disponible</t>
        </is>
      </c>
    </row>
    <row r="277">
      <c r="A277" s="135" t="inlineStr">
        <is>
          <t>L281</t>
        </is>
      </c>
      <c r="B277" s="136" t="inlineStr">
        <is>
          <t>Lote 281</t>
        </is>
      </c>
      <c r="C277" s="135" t="inlineStr">
        <is>
          <t>M27</t>
        </is>
      </c>
      <c r="D277" s="136" t="inlineStr">
        <is>
          <t>Lote Estándar</t>
        </is>
      </c>
      <c r="E277" s="137">
        <f>'Inventario Detallado'!E282</f>
        <v/>
      </c>
      <c r="F277" s="135" t="inlineStr">
        <is>
          <t>12.59m x 13.39m</t>
        </is>
      </c>
      <c r="G277" s="138">
        <f>'Inventario Detallado'!G282</f>
        <v/>
      </c>
      <c r="H277" s="139" t="n">
        <v>91</v>
      </c>
      <c r="I277" s="139" t="n">
        <v>79</v>
      </c>
      <c r="J277" s="135" t="inlineStr">
        <is>
          <t>Disponible</t>
        </is>
      </c>
    </row>
    <row r="278">
      <c r="A278" s="135" t="inlineStr">
        <is>
          <t>L282</t>
        </is>
      </c>
      <c r="B278" s="136" t="inlineStr">
        <is>
          <t>Lote 282</t>
        </is>
      </c>
      <c r="C278" s="135" t="inlineStr">
        <is>
          <t>M27</t>
        </is>
      </c>
      <c r="D278" s="136" t="inlineStr">
        <is>
          <t>Lote Estándar</t>
        </is>
      </c>
      <c r="E278" s="137">
        <f>'Inventario Detallado'!E283</f>
        <v/>
      </c>
      <c r="F278" s="135" t="inlineStr">
        <is>
          <t>12.60m x 13.38m</t>
        </is>
      </c>
      <c r="G278" s="138">
        <f>'Inventario Detallado'!G283</f>
        <v/>
      </c>
      <c r="H278" s="139" t="n">
        <v>91</v>
      </c>
      <c r="I278" s="139" t="n">
        <v>66</v>
      </c>
      <c r="J278" s="135" t="inlineStr">
        <is>
          <t>Disponible</t>
        </is>
      </c>
    </row>
    <row r="279">
      <c r="A279" s="135" t="inlineStr">
        <is>
          <t>L283</t>
        </is>
      </c>
      <c r="B279" s="136" t="inlineStr">
        <is>
          <t>Lote 283</t>
        </is>
      </c>
      <c r="C279" s="135" t="inlineStr">
        <is>
          <t>M27</t>
        </is>
      </c>
      <c r="D279" s="136" t="inlineStr">
        <is>
          <t>Lote Estándar</t>
        </is>
      </c>
      <c r="E279" s="137">
        <f>'Inventario Detallado'!E284</f>
        <v/>
      </c>
      <c r="F279" s="135" t="inlineStr">
        <is>
          <t>12.60m x 13.40m</t>
        </is>
      </c>
      <c r="G279" s="138">
        <f>'Inventario Detallado'!G284</f>
        <v/>
      </c>
      <c r="H279" s="139" t="n">
        <v>90</v>
      </c>
      <c r="I279" s="139" t="n">
        <v>53</v>
      </c>
      <c r="J279" s="135" t="inlineStr">
        <is>
          <t>Disponible</t>
        </is>
      </c>
    </row>
    <row r="280">
      <c r="A280" s="135" t="inlineStr">
        <is>
          <t>L284</t>
        </is>
      </c>
      <c r="B280" s="136" t="inlineStr">
        <is>
          <t>Lote 284</t>
        </is>
      </c>
      <c r="C280" s="135" t="inlineStr">
        <is>
          <t>M27</t>
        </is>
      </c>
      <c r="D280" s="136" t="inlineStr">
        <is>
          <t>Lote Estándar</t>
        </is>
      </c>
      <c r="E280" s="137">
        <f>'Inventario Detallado'!E285</f>
        <v/>
      </c>
      <c r="F280" s="135" t="inlineStr">
        <is>
          <t>12.60m x 13.43m</t>
        </is>
      </c>
      <c r="G280" s="138">
        <f>'Inventario Detallado'!G285</f>
        <v/>
      </c>
      <c r="H280" s="139" t="n">
        <v>90</v>
      </c>
      <c r="I280" s="139" t="n">
        <v>41</v>
      </c>
      <c r="J280" s="135" t="inlineStr">
        <is>
          <t>Disponible</t>
        </is>
      </c>
    </row>
    <row r="281">
      <c r="A281" s="135" t="inlineStr">
        <is>
          <t>L285</t>
        </is>
      </c>
      <c r="B281" s="136" t="inlineStr">
        <is>
          <t>Lote 285</t>
        </is>
      </c>
      <c r="C281" s="135" t="inlineStr">
        <is>
          <t>M27</t>
        </is>
      </c>
      <c r="D281" s="136" t="inlineStr">
        <is>
          <t>Lote Estándar</t>
        </is>
      </c>
      <c r="E281" s="137">
        <f>'Inventario Detallado'!E286</f>
        <v/>
      </c>
      <c r="F281" s="135" t="inlineStr">
        <is>
          <t>12.60m x 13.48m</t>
        </is>
      </c>
      <c r="G281" s="138">
        <f>'Inventario Detallado'!G286</f>
        <v/>
      </c>
      <c r="H281" s="139" t="n">
        <v>91</v>
      </c>
      <c r="I281" s="139" t="n">
        <v>28</v>
      </c>
      <c r="J281" s="135" t="inlineStr">
        <is>
          <t>Disponible</t>
        </is>
      </c>
    </row>
    <row r="282">
      <c r="A282" s="135" t="inlineStr">
        <is>
          <t>L286</t>
        </is>
      </c>
      <c r="B282" s="136" t="inlineStr">
        <is>
          <t>Lote 286</t>
        </is>
      </c>
      <c r="C282" s="135" t="inlineStr">
        <is>
          <t>M27</t>
        </is>
      </c>
      <c r="D282" s="136" t="inlineStr">
        <is>
          <t>Lote Estándar</t>
        </is>
      </c>
      <c r="E282" s="137">
        <f>'Inventario Detallado'!E287</f>
        <v/>
      </c>
      <c r="F282" s="135" t="inlineStr">
        <is>
          <t>12.60m x 13.55m</t>
        </is>
      </c>
      <c r="G282" s="138">
        <f>'Inventario Detallado'!G287</f>
        <v/>
      </c>
      <c r="H282" s="139" t="n">
        <v>91</v>
      </c>
      <c r="I282" s="139" t="n">
        <v>15</v>
      </c>
      <c r="J282" s="135" t="inlineStr">
        <is>
          <t>Disponible</t>
        </is>
      </c>
    </row>
    <row r="283">
      <c r="A283" s="135" t="inlineStr">
        <is>
          <t>L287</t>
        </is>
      </c>
      <c r="B283" s="136" t="inlineStr">
        <is>
          <t>Lote 287</t>
        </is>
      </c>
      <c r="C283" s="135" t="inlineStr">
        <is>
          <t>M28</t>
        </is>
      </c>
      <c r="D283" s="136" t="inlineStr">
        <is>
          <t>Lote Ajuste (Irregular)</t>
        </is>
      </c>
      <c r="E283" s="137">
        <f>'Inventario Detallado'!E288</f>
        <v/>
      </c>
      <c r="F283" s="135" t="inlineStr">
        <is>
          <t>12.21m x 18.93m</t>
        </is>
      </c>
      <c r="G283" s="138">
        <f>'Inventario Detallado'!G288</f>
        <v/>
      </c>
      <c r="H283" s="139" t="n">
        <v>114</v>
      </c>
      <c r="I283" s="139" t="n">
        <v>16</v>
      </c>
      <c r="J283" s="135" t="inlineStr">
        <is>
          <t>Disponible</t>
        </is>
      </c>
    </row>
    <row r="284">
      <c r="A284" s="135" t="inlineStr">
        <is>
          <t>L288</t>
        </is>
      </c>
      <c r="B284" s="136" t="inlineStr">
        <is>
          <t>Lote 288</t>
        </is>
      </c>
      <c r="C284" s="135" t="inlineStr">
        <is>
          <t>M28</t>
        </is>
      </c>
      <c r="D284" s="136" t="inlineStr">
        <is>
          <t>Lote Ajuste (Irregular)</t>
        </is>
      </c>
      <c r="E284" s="137">
        <f>'Inventario Detallado'!E289</f>
        <v/>
      </c>
      <c r="F284" s="135" t="inlineStr">
        <is>
          <t>12.21m x 18.91m</t>
        </is>
      </c>
      <c r="G284" s="138">
        <f>'Inventario Detallado'!G289</f>
        <v/>
      </c>
      <c r="H284" s="139" t="n">
        <v>113</v>
      </c>
      <c r="I284" s="139" t="n">
        <v>28</v>
      </c>
      <c r="J284" s="135" t="inlineStr">
        <is>
          <t>Disponible</t>
        </is>
      </c>
    </row>
    <row r="285">
      <c r="A285" s="135" t="inlineStr">
        <is>
          <t>L289</t>
        </is>
      </c>
      <c r="B285" s="136" t="inlineStr">
        <is>
          <t>Lote 289</t>
        </is>
      </c>
      <c r="C285" s="135" t="inlineStr">
        <is>
          <t>M28</t>
        </is>
      </c>
      <c r="D285" s="136" t="inlineStr">
        <is>
          <t>Lote Ajuste (Irregular)</t>
        </is>
      </c>
      <c r="E285" s="137">
        <f>'Inventario Detallado'!E290</f>
        <v/>
      </c>
      <c r="F285" s="135" t="inlineStr">
        <is>
          <t>12.21m x 18.90m</t>
        </is>
      </c>
      <c r="G285" s="138">
        <f>'Inventario Detallado'!G290</f>
        <v/>
      </c>
      <c r="H285" s="139" t="n">
        <v>112</v>
      </c>
      <c r="I285" s="139" t="n">
        <v>40</v>
      </c>
      <c r="J285" s="135" t="inlineStr">
        <is>
          <t>Disponible</t>
        </is>
      </c>
    </row>
    <row r="286">
      <c r="A286" s="135" t="inlineStr">
        <is>
          <t>L290</t>
        </is>
      </c>
      <c r="B286" s="136" t="inlineStr">
        <is>
          <t>Lote 290</t>
        </is>
      </c>
      <c r="C286" s="135" t="inlineStr">
        <is>
          <t>M28</t>
        </is>
      </c>
      <c r="D286" s="136" t="inlineStr">
        <is>
          <t>Lote Ajuste (Irregular)</t>
        </is>
      </c>
      <c r="E286" s="137">
        <f>'Inventario Detallado'!E291</f>
        <v/>
      </c>
      <c r="F286" s="135" t="inlineStr">
        <is>
          <t>12.23m x 18.93m</t>
        </is>
      </c>
      <c r="G286" s="138">
        <f>'Inventario Detallado'!G291</f>
        <v/>
      </c>
      <c r="H286" s="139" t="n">
        <v>112</v>
      </c>
      <c r="I286" s="139" t="n">
        <v>52</v>
      </c>
      <c r="J286" s="135" t="inlineStr">
        <is>
          <t>Disponible</t>
        </is>
      </c>
    </row>
    <row r="287">
      <c r="A287" s="135" t="inlineStr">
        <is>
          <t>L291</t>
        </is>
      </c>
      <c r="B287" s="136" t="inlineStr">
        <is>
          <t>Lote 291</t>
        </is>
      </c>
      <c r="C287" s="135" t="inlineStr">
        <is>
          <t>M28</t>
        </is>
      </c>
      <c r="D287" s="136" t="inlineStr">
        <is>
          <t>Lote Ajuste (Irregular)</t>
        </is>
      </c>
      <c r="E287" s="137">
        <f>'Inventario Detallado'!E292</f>
        <v/>
      </c>
      <c r="F287" s="135" t="inlineStr">
        <is>
          <t>12.23m x 18.98m</t>
        </is>
      </c>
      <c r="G287" s="138">
        <f>'Inventario Detallado'!G292</f>
        <v/>
      </c>
      <c r="H287" s="139" t="n">
        <v>112</v>
      </c>
      <c r="I287" s="139" t="n">
        <v>65</v>
      </c>
      <c r="J287" s="135" t="inlineStr">
        <is>
          <t>Disponible</t>
        </is>
      </c>
    </row>
    <row r="288">
      <c r="A288" s="135" t="inlineStr">
        <is>
          <t>L293</t>
        </is>
      </c>
      <c r="B288" s="136" t="inlineStr">
        <is>
          <t>Lote 293</t>
        </is>
      </c>
      <c r="C288" s="135" t="inlineStr">
        <is>
          <t>M28</t>
        </is>
      </c>
      <c r="D288" s="136" t="inlineStr">
        <is>
          <t>Lote Ajuste (Irregular)</t>
        </is>
      </c>
      <c r="E288" s="137">
        <f>'Inventario Detallado'!E294</f>
        <v/>
      </c>
      <c r="F288" s="135" t="inlineStr">
        <is>
          <t>12.23m x 19.15m</t>
        </is>
      </c>
      <c r="G288" s="138">
        <f>'Inventario Detallado'!G294</f>
        <v/>
      </c>
      <c r="H288" s="139" t="n">
        <v>113</v>
      </c>
      <c r="I288" s="139" t="n">
        <v>88</v>
      </c>
      <c r="J288" s="135" t="inlineStr">
        <is>
          <t>Disponible</t>
        </is>
      </c>
    </row>
    <row r="289">
      <c r="A289" s="135" t="inlineStr">
        <is>
          <t>L294</t>
        </is>
      </c>
      <c r="B289" s="136" t="inlineStr">
        <is>
          <t>Lote 294</t>
        </is>
      </c>
      <c r="C289" s="135" t="inlineStr">
        <is>
          <t>M29</t>
        </is>
      </c>
      <c r="D289" s="136" t="inlineStr">
        <is>
          <t>Lote Ajuste (Irregular)</t>
        </is>
      </c>
      <c r="E289" s="137">
        <f>'Inventario Detallado'!E295</f>
        <v/>
      </c>
      <c r="F289" s="135" t="inlineStr">
        <is>
          <t>12.12m x 19.29m</t>
        </is>
      </c>
      <c r="G289" s="138">
        <f>'Inventario Detallado'!G295</f>
        <v/>
      </c>
      <c r="H289" s="139" t="n">
        <v>115</v>
      </c>
      <c r="I289" s="139" t="n">
        <v>105</v>
      </c>
      <c r="J289" s="135" t="inlineStr">
        <is>
          <t>Disponible</t>
        </is>
      </c>
    </row>
    <row r="290">
      <c r="A290" s="135" t="inlineStr">
        <is>
          <t>L295</t>
        </is>
      </c>
      <c r="B290" s="136" t="inlineStr">
        <is>
          <t>Lote 295</t>
        </is>
      </c>
      <c r="C290" s="135" t="inlineStr">
        <is>
          <t>M29</t>
        </is>
      </c>
      <c r="D290" s="136" t="inlineStr">
        <is>
          <t>Lote Ajuste (Irregular)</t>
        </is>
      </c>
      <c r="E290" s="137">
        <f>'Inventario Detallado'!E296</f>
        <v/>
      </c>
      <c r="F290" s="135" t="inlineStr">
        <is>
          <t>12.12m x 19.34m</t>
        </is>
      </c>
      <c r="G290" s="138">
        <f>'Inventario Detallado'!G296</f>
        <v/>
      </c>
      <c r="H290" s="139" t="n">
        <v>116</v>
      </c>
      <c r="I290" s="139" t="n">
        <v>117</v>
      </c>
      <c r="J290" s="135" t="inlineStr">
        <is>
          <t>Disponible</t>
        </is>
      </c>
    </row>
    <row r="291">
      <c r="A291" s="135" t="inlineStr">
        <is>
          <t>L296</t>
        </is>
      </c>
      <c r="B291" s="136" t="inlineStr">
        <is>
          <t>Lote 296</t>
        </is>
      </c>
      <c r="C291" s="135" t="inlineStr">
        <is>
          <t>M29</t>
        </is>
      </c>
      <c r="D291" s="136" t="inlineStr">
        <is>
          <t>Lote Ajuste (Irregular)</t>
        </is>
      </c>
      <c r="E291" s="137">
        <f>'Inventario Detallado'!E297</f>
        <v/>
      </c>
      <c r="F291" s="135" t="inlineStr">
        <is>
          <t>12.12m x 19.37m</t>
        </is>
      </c>
      <c r="G291" s="138">
        <f>'Inventario Detallado'!G297</f>
        <v/>
      </c>
      <c r="H291" s="139" t="n">
        <v>118</v>
      </c>
      <c r="I291" s="139" t="n">
        <v>129</v>
      </c>
      <c r="J291" s="135" t="inlineStr">
        <is>
          <t>Disponible</t>
        </is>
      </c>
    </row>
    <row r="292">
      <c r="A292" s="135" t="inlineStr">
        <is>
          <t>L297</t>
        </is>
      </c>
      <c r="B292" s="136" t="inlineStr">
        <is>
          <t>Lote 297</t>
        </is>
      </c>
      <c r="C292" s="135" t="inlineStr">
        <is>
          <t>M29</t>
        </is>
      </c>
      <c r="D292" s="136" t="inlineStr">
        <is>
          <t>Lote Ajuste (Irregular)</t>
        </is>
      </c>
      <c r="E292" s="137">
        <f>'Inventario Detallado'!E298</f>
        <v/>
      </c>
      <c r="F292" s="135" t="inlineStr">
        <is>
          <t>12.12m x 19.39m</t>
        </is>
      </c>
      <c r="G292" s="138">
        <f>'Inventario Detallado'!G298</f>
        <v/>
      </c>
      <c r="H292" s="139" t="n">
        <v>118</v>
      </c>
      <c r="I292" s="139" t="n">
        <v>141</v>
      </c>
      <c r="J292" s="135" t="inlineStr">
        <is>
          <t>Disponible</t>
        </is>
      </c>
    </row>
    <row r="293">
      <c r="A293" s="135" t="inlineStr">
        <is>
          <t>L298</t>
        </is>
      </c>
      <c r="B293" s="136" t="inlineStr">
        <is>
          <t>Lote 298</t>
        </is>
      </c>
      <c r="C293" s="135" t="inlineStr">
        <is>
          <t>M29</t>
        </is>
      </c>
      <c r="D293" s="136" t="inlineStr">
        <is>
          <t>Lote Ajuste (Irregular)</t>
        </is>
      </c>
      <c r="E293" s="137">
        <f>'Inventario Detallado'!E299</f>
        <v/>
      </c>
      <c r="F293" s="135" t="inlineStr">
        <is>
          <t>12.12m x 19.42m</t>
        </is>
      </c>
      <c r="G293" s="138">
        <f>'Inventario Detallado'!G299</f>
        <v/>
      </c>
      <c r="H293" s="139" t="n">
        <v>118</v>
      </c>
      <c r="I293" s="139" t="n">
        <v>145</v>
      </c>
      <c r="J293" s="135" t="inlineStr">
        <is>
          <t>Disponible</t>
        </is>
      </c>
    </row>
    <row r="294">
      <c r="A294" s="135" t="inlineStr">
        <is>
          <t>L299</t>
        </is>
      </c>
      <c r="B294" s="136" t="inlineStr">
        <is>
          <t>Lote 299</t>
        </is>
      </c>
      <c r="C294" s="135" t="inlineStr">
        <is>
          <t>M29</t>
        </is>
      </c>
      <c r="D294" s="136" t="inlineStr">
        <is>
          <t>Lote Ajuste (Irregular)</t>
        </is>
      </c>
      <c r="E294" s="137">
        <f>'Inventario Detallado'!E300</f>
        <v/>
      </c>
      <c r="F294" s="135" t="inlineStr">
        <is>
          <t>12.12m x 19.45m</t>
        </is>
      </c>
      <c r="G294" s="138">
        <f>'Inventario Detallado'!G300</f>
        <v/>
      </c>
      <c r="H294" s="139" t="n">
        <v>118</v>
      </c>
      <c r="I294" s="139" t="n">
        <v>145</v>
      </c>
      <c r="J294" s="135" t="inlineStr">
        <is>
          <t>Disponible</t>
        </is>
      </c>
    </row>
    <row r="295">
      <c r="A295" s="135" t="inlineStr">
        <is>
          <t>L300</t>
        </is>
      </c>
      <c r="B295" s="136" t="inlineStr">
        <is>
          <t>Lote 300</t>
        </is>
      </c>
      <c r="C295" s="135" t="inlineStr">
        <is>
          <t>M29</t>
        </is>
      </c>
      <c r="D295" s="136" t="inlineStr">
        <is>
          <t>Lote Ajuste (Irregular)</t>
        </is>
      </c>
      <c r="E295" s="137">
        <f>'Inventario Detallado'!E301</f>
        <v/>
      </c>
      <c r="F295" s="135" t="inlineStr">
        <is>
          <t>12.12m x 19.47m</t>
        </is>
      </c>
      <c r="G295" s="138">
        <f>'Inventario Detallado'!G301</f>
        <v/>
      </c>
      <c r="H295" s="139" t="n">
        <v>118</v>
      </c>
      <c r="I295" s="139" t="n">
        <v>145</v>
      </c>
      <c r="J295" s="135" t="inlineStr">
        <is>
          <t>Disponible</t>
        </is>
      </c>
    </row>
    <row r="296">
      <c r="A296" s="135" t="inlineStr">
        <is>
          <t>L301</t>
        </is>
      </c>
      <c r="B296" s="136" t="inlineStr">
        <is>
          <t>Lote 301</t>
        </is>
      </c>
      <c r="C296" s="135" t="inlineStr">
        <is>
          <t>M29</t>
        </is>
      </c>
      <c r="D296" s="136" t="inlineStr">
        <is>
          <t>Lote Ajuste (Irregular)</t>
        </is>
      </c>
      <c r="E296" s="137">
        <f>'Inventario Detallado'!E302</f>
        <v/>
      </c>
      <c r="F296" s="135" t="inlineStr">
        <is>
          <t>12.12m x 19.50m</t>
        </is>
      </c>
      <c r="G296" s="138">
        <f>'Inventario Detallado'!G302</f>
        <v/>
      </c>
      <c r="H296" s="139" t="n">
        <v>118</v>
      </c>
      <c r="I296" s="139" t="n">
        <v>145</v>
      </c>
      <c r="J296" s="135" t="inlineStr">
        <is>
          <t>Disponible</t>
        </is>
      </c>
    </row>
    <row r="297">
      <c r="A297" s="135" t="inlineStr">
        <is>
          <t>L302</t>
        </is>
      </c>
      <c r="B297" s="136" t="inlineStr">
        <is>
          <t>Lote 302</t>
        </is>
      </c>
      <c r="C297" s="135" t="inlineStr">
        <is>
          <t>M29</t>
        </is>
      </c>
      <c r="D297" s="136" t="inlineStr">
        <is>
          <t>Lote Ajuste (Irregular)</t>
        </is>
      </c>
      <c r="E297" s="137">
        <f>'Inventario Detallado'!E303</f>
        <v/>
      </c>
      <c r="F297" s="135" t="inlineStr">
        <is>
          <t>12.12m x 19.52m</t>
        </is>
      </c>
      <c r="G297" s="138">
        <f>'Inventario Detallado'!G303</f>
        <v/>
      </c>
      <c r="H297" s="139" t="n">
        <v>119</v>
      </c>
      <c r="I297" s="139" t="n">
        <v>145</v>
      </c>
      <c r="J297" s="135" t="inlineStr">
        <is>
          <t>Disponible</t>
        </is>
      </c>
    </row>
    <row r="298">
      <c r="A298" s="135" t="inlineStr">
        <is>
          <t>L303</t>
        </is>
      </c>
      <c r="B298" s="136" t="inlineStr">
        <is>
          <t>Lote 303</t>
        </is>
      </c>
      <c r="C298" s="135" t="inlineStr">
        <is>
          <t>M29</t>
        </is>
      </c>
      <c r="D298" s="136" t="inlineStr">
        <is>
          <t>Lote Ajuste (Irregular)</t>
        </is>
      </c>
      <c r="E298" s="137">
        <f>'Inventario Detallado'!E304</f>
        <v/>
      </c>
      <c r="F298" s="135" t="inlineStr">
        <is>
          <t>12.12m x 19.55m</t>
        </is>
      </c>
      <c r="G298" s="138">
        <f>'Inventario Detallado'!G304</f>
        <v/>
      </c>
      <c r="H298" s="139" t="n">
        <v>119</v>
      </c>
      <c r="I298" s="139" t="n">
        <v>134</v>
      </c>
      <c r="J298" s="135" t="inlineStr">
        <is>
          <t>Disponible</t>
        </is>
      </c>
    </row>
    <row r="299">
      <c r="A299" s="135" t="inlineStr">
        <is>
          <t>L304</t>
        </is>
      </c>
      <c r="B299" s="136" t="inlineStr">
        <is>
          <t>Lote 304</t>
        </is>
      </c>
      <c r="C299" s="135" t="inlineStr">
        <is>
          <t>M30</t>
        </is>
      </c>
      <c r="D299" s="136" t="inlineStr">
        <is>
          <t>Lote Ajuste (Irregular)</t>
        </is>
      </c>
      <c r="E299" s="137">
        <f>'Inventario Detallado'!E305</f>
        <v/>
      </c>
      <c r="F299" s="135" t="inlineStr">
        <is>
          <t>12.59m x 19.55m</t>
        </is>
      </c>
      <c r="G299" s="138">
        <f>'Inventario Detallado'!G305</f>
        <v/>
      </c>
      <c r="H299" s="139" t="n">
        <v>119</v>
      </c>
      <c r="I299" s="139" t="n">
        <v>116</v>
      </c>
      <c r="J299" s="135" t="inlineStr">
        <is>
          <t>Disponible</t>
        </is>
      </c>
    </row>
    <row r="300">
      <c r="A300" s="135" t="inlineStr">
        <is>
          <t>L305</t>
        </is>
      </c>
      <c r="B300" s="136" t="inlineStr">
        <is>
          <t>Lote 305</t>
        </is>
      </c>
      <c r="C300" s="135" t="inlineStr">
        <is>
          <t>M30</t>
        </is>
      </c>
      <c r="D300" s="136" t="inlineStr">
        <is>
          <t>Lote Ajuste (Irregular)</t>
        </is>
      </c>
      <c r="E300" s="137">
        <f>'Inventario Detallado'!E306</f>
        <v/>
      </c>
      <c r="F300" s="135" t="inlineStr">
        <is>
          <t>12.59m x 19.51m</t>
        </is>
      </c>
      <c r="G300" s="138">
        <f>'Inventario Detallado'!G306</f>
        <v/>
      </c>
      <c r="H300" s="139" t="n">
        <v>118</v>
      </c>
      <c r="I300" s="139" t="n">
        <v>104</v>
      </c>
      <c r="J300" s="135" t="inlineStr">
        <is>
          <t>Disponible</t>
        </is>
      </c>
    </row>
    <row r="301">
      <c r="A301" s="135" t="inlineStr">
        <is>
          <t>L306</t>
        </is>
      </c>
      <c r="B301" s="136" t="inlineStr">
        <is>
          <t>Lote 306</t>
        </is>
      </c>
      <c r="C301" s="135" t="inlineStr">
        <is>
          <t>M30</t>
        </is>
      </c>
      <c r="D301" s="136" t="inlineStr">
        <is>
          <t>Lote Ajuste (Irregular)</t>
        </is>
      </c>
      <c r="E301" s="137">
        <f>'Inventario Detallado'!E307</f>
        <v/>
      </c>
      <c r="F301" s="135" t="inlineStr">
        <is>
          <t>12.59m x 19.46m</t>
        </is>
      </c>
      <c r="G301" s="138">
        <f>'Inventario Detallado'!G307</f>
        <v/>
      </c>
      <c r="H301" s="139" t="n">
        <v>117</v>
      </c>
      <c r="I301" s="139" t="n">
        <v>91</v>
      </c>
      <c r="J301" s="135" t="inlineStr">
        <is>
          <t>Disponible</t>
        </is>
      </c>
    </row>
    <row r="302">
      <c r="A302" s="135" t="inlineStr">
        <is>
          <t>L307</t>
        </is>
      </c>
      <c r="B302" s="136" t="inlineStr">
        <is>
          <t>Lote 307</t>
        </is>
      </c>
      <c r="C302" s="135" t="inlineStr">
        <is>
          <t>M30</t>
        </is>
      </c>
      <c r="D302" s="136" t="inlineStr">
        <is>
          <t>Lote Ajuste (Irregular)</t>
        </is>
      </c>
      <c r="E302" s="137">
        <f>'Inventario Detallado'!E308</f>
        <v/>
      </c>
      <c r="F302" s="135" t="inlineStr">
        <is>
          <t>12.59m x 19.42m</t>
        </is>
      </c>
      <c r="G302" s="138">
        <f>'Inventario Detallado'!G308</f>
        <v/>
      </c>
      <c r="H302" s="139" t="n">
        <v>116</v>
      </c>
      <c r="I302" s="139" t="n">
        <v>79</v>
      </c>
      <c r="J302" s="135" t="inlineStr">
        <is>
          <t>Disponible</t>
        </is>
      </c>
    </row>
    <row r="303">
      <c r="A303" s="135" t="inlineStr">
        <is>
          <t>L308</t>
        </is>
      </c>
      <c r="B303" s="136" t="inlineStr">
        <is>
          <t>Lote 308</t>
        </is>
      </c>
      <c r="C303" s="135" t="inlineStr">
        <is>
          <t>M30</t>
        </is>
      </c>
      <c r="D303" s="136" t="inlineStr">
        <is>
          <t>Lote Ajuste (Irregular)</t>
        </is>
      </c>
      <c r="E303" s="137">
        <f>'Inventario Detallado'!E309</f>
        <v/>
      </c>
      <c r="F303" s="135" t="inlineStr">
        <is>
          <t>12.61m x 19.41m</t>
        </is>
      </c>
      <c r="G303" s="138">
        <f>'Inventario Detallado'!G309</f>
        <v/>
      </c>
      <c r="H303" s="139" t="n">
        <v>115</v>
      </c>
      <c r="I303" s="139" t="n">
        <v>66</v>
      </c>
      <c r="J303" s="135" t="inlineStr">
        <is>
          <t>Disponible</t>
        </is>
      </c>
    </row>
    <row r="304">
      <c r="A304" s="135" t="inlineStr">
        <is>
          <t>L309</t>
        </is>
      </c>
      <c r="B304" s="136" t="inlineStr">
        <is>
          <t>Lote 309</t>
        </is>
      </c>
      <c r="C304" s="135" t="inlineStr">
        <is>
          <t>M30</t>
        </is>
      </c>
      <c r="D304" s="136" t="inlineStr">
        <is>
          <t>Lote Ajuste (Irregular)</t>
        </is>
      </c>
      <c r="E304" s="137">
        <f>'Inventario Detallado'!E310</f>
        <v/>
      </c>
      <c r="F304" s="135" t="inlineStr">
        <is>
          <t>12.61m x 19.42m</t>
        </is>
      </c>
      <c r="G304" s="138">
        <f>'Inventario Detallado'!G310</f>
        <v/>
      </c>
      <c r="H304" s="139" t="n">
        <v>115</v>
      </c>
      <c r="I304" s="139" t="n">
        <v>53</v>
      </c>
      <c r="J304" s="135" t="inlineStr">
        <is>
          <t>Disponible</t>
        </is>
      </c>
    </row>
    <row r="305">
      <c r="A305" s="135" t="inlineStr">
        <is>
          <t>L310</t>
        </is>
      </c>
      <c r="B305" s="136" t="inlineStr">
        <is>
          <t>Lote 310</t>
        </is>
      </c>
      <c r="C305" s="135" t="inlineStr">
        <is>
          <t>M30</t>
        </is>
      </c>
      <c r="D305" s="136" t="inlineStr">
        <is>
          <t>Lote Ajuste (Irregular)</t>
        </is>
      </c>
      <c r="E305" s="137">
        <f>'Inventario Detallado'!E311</f>
        <v/>
      </c>
      <c r="F305" s="135" t="inlineStr">
        <is>
          <t>12.61m x 19.47m</t>
        </is>
      </c>
      <c r="G305" s="138">
        <f>'Inventario Detallado'!G311</f>
        <v/>
      </c>
      <c r="H305" s="139" t="n">
        <v>115</v>
      </c>
      <c r="I305" s="139" t="n">
        <v>41</v>
      </c>
      <c r="J305" s="135" t="inlineStr">
        <is>
          <t>Disponible</t>
        </is>
      </c>
    </row>
    <row r="306">
      <c r="A306" s="135" t="inlineStr">
        <is>
          <t>L311</t>
        </is>
      </c>
      <c r="B306" s="136" t="inlineStr">
        <is>
          <t>Lote 311</t>
        </is>
      </c>
      <c r="C306" s="135" t="inlineStr">
        <is>
          <t>M30</t>
        </is>
      </c>
      <c r="D306" s="136" t="inlineStr">
        <is>
          <t>Lote Ajuste (Irregular)</t>
        </is>
      </c>
      <c r="E306" s="137">
        <f>'Inventario Detallado'!E312</f>
        <v/>
      </c>
      <c r="F306" s="135" t="inlineStr">
        <is>
          <t>12.61m x 19.55m</t>
        </is>
      </c>
      <c r="G306" s="138">
        <f>'Inventario Detallado'!G312</f>
        <v/>
      </c>
      <c r="H306" s="139" t="n">
        <v>115</v>
      </c>
      <c r="I306" s="139" t="n">
        <v>28</v>
      </c>
      <c r="J306" s="135" t="inlineStr">
        <is>
          <t>Disponible</t>
        </is>
      </c>
    </row>
    <row r="307">
      <c r="A307" s="135" t="inlineStr">
        <is>
          <t>L312</t>
        </is>
      </c>
      <c r="B307" s="136" t="inlineStr">
        <is>
          <t>Lote 312</t>
        </is>
      </c>
      <c r="C307" s="135" t="inlineStr">
        <is>
          <t>M30</t>
        </is>
      </c>
      <c r="D307" s="136" t="inlineStr">
        <is>
          <t>Lote Ajuste (Irregular)</t>
        </is>
      </c>
      <c r="E307" s="137">
        <f>'Inventario Detallado'!E313</f>
        <v/>
      </c>
      <c r="F307" s="135" t="inlineStr">
        <is>
          <t>12.61m x 19.64m</t>
        </is>
      </c>
      <c r="G307" s="138">
        <f>'Inventario Detallado'!G313</f>
        <v/>
      </c>
      <c r="H307" s="139" t="n">
        <v>116</v>
      </c>
      <c r="I307" s="139" t="n">
        <v>16</v>
      </c>
      <c r="J307" s="135" t="inlineStr">
        <is>
          <t>Disponible</t>
        </is>
      </c>
    </row>
  </sheetData>
  <mergeCells count="8">
    <mergeCell ref="H6:I7"/>
    <mergeCell ref="B5:C5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7" customWidth="1" min="4" max="4"/>
    <col width="18" customWidth="1" min="5" max="5"/>
    <col width="19" customWidth="1" min="6" max="6"/>
    <col width="21" customWidth="1" min="7" max="7"/>
    <col width="19" customWidth="1" min="8" max="8"/>
    <col width="22" customWidth="1" min="9" max="9"/>
    <col width="20" customWidth="1" min="10" max="10"/>
  </cols>
  <sheetData>
    <row r="1" ht="24" customHeight="1">
      <c r="A1" s="63" t="inlineStr">
        <is>
          <t>ID Elemento</t>
        </is>
      </c>
      <c r="B1" s="63" t="inlineStr">
        <is>
          <t>Nombre Comercial</t>
        </is>
      </c>
      <c r="C1" s="63" t="inlineStr">
        <is>
          <t>Manzana / Bloque</t>
        </is>
      </c>
      <c r="D1" s="63" t="inlineStr">
        <is>
          <t>Tipología</t>
        </is>
      </c>
      <c r="E1" s="63" t="inlineStr">
        <is>
          <t>Área Útil (m²)</t>
        </is>
      </c>
      <c r="F1" s="63" t="inlineStr">
        <is>
          <t>Dimensiones</t>
        </is>
      </c>
      <c r="G1" s="63" t="inlineStr">
        <is>
          <t>Precio Venta (S/)</t>
        </is>
      </c>
      <c r="H1" s="63" t="inlineStr">
        <is>
          <t>Dist. Oasis (m)</t>
        </is>
      </c>
      <c r="I1" s="63" t="inlineStr">
        <is>
          <t>Dist. Cocheras (m)</t>
        </is>
      </c>
      <c r="J1" s="63" t="inlineStr">
        <is>
          <t>Estado Comercial</t>
        </is>
      </c>
    </row>
    <row r="2" ht="20" customHeight="1">
      <c r="A2" s="90" t="inlineStr">
        <is>
          <t>L001</t>
        </is>
      </c>
      <c r="B2" s="91" t="inlineStr">
        <is>
          <t>Lote 1</t>
        </is>
      </c>
      <c r="C2" s="90" t="inlineStr">
        <is>
          <t>M1</t>
        </is>
      </c>
      <c r="D2" s="91" t="inlineStr">
        <is>
          <t>Lote Estándar</t>
        </is>
      </c>
      <c r="E2" s="92" t="n">
        <v>225.54</v>
      </c>
      <c r="F2" s="90" t="inlineStr">
        <is>
          <t>12.16m x 18.75m</t>
        </is>
      </c>
      <c r="G2" s="93">
        <f>E2*120</f>
        <v/>
      </c>
      <c r="H2" s="90" t="n">
        <v>106</v>
      </c>
      <c r="I2" s="90" t="n">
        <v>14</v>
      </c>
      <c r="J2" s="99" t="inlineStr">
        <is>
          <t>Disponible</t>
        </is>
      </c>
    </row>
    <row r="3" ht="20" customHeight="1">
      <c r="A3" s="95" t="inlineStr">
        <is>
          <t>L002</t>
        </is>
      </c>
      <c r="B3" s="96" t="inlineStr">
        <is>
          <t>Lote 2</t>
        </is>
      </c>
      <c r="C3" s="95" t="inlineStr">
        <is>
          <t>M1</t>
        </is>
      </c>
      <c r="D3" s="96" t="inlineStr">
        <is>
          <t>Lote Estándar</t>
        </is>
      </c>
      <c r="E3" s="97" t="n">
        <v>224.67</v>
      </c>
      <c r="F3" s="95" t="inlineStr">
        <is>
          <t>12.16m x 18.67m</t>
        </is>
      </c>
      <c r="G3" s="98">
        <f>E3*120</f>
        <v/>
      </c>
      <c r="H3" s="95" t="n">
        <v>106</v>
      </c>
      <c r="I3" s="95" t="n">
        <v>26</v>
      </c>
      <c r="J3" s="99" t="inlineStr">
        <is>
          <t>Disponible</t>
        </is>
      </c>
    </row>
    <row r="4" ht="20" customHeight="1">
      <c r="A4" s="90" t="inlineStr">
        <is>
          <t>L003</t>
        </is>
      </c>
      <c r="B4" s="91" t="inlineStr">
        <is>
          <t>Lote 3</t>
        </is>
      </c>
      <c r="C4" s="90" t="inlineStr">
        <is>
          <t>M1</t>
        </is>
      </c>
      <c r="D4" s="91" t="inlineStr">
        <is>
          <t>Lote Estándar</t>
        </is>
      </c>
      <c r="E4" s="92" t="n">
        <v>224.37</v>
      </c>
      <c r="F4" s="90" t="inlineStr">
        <is>
          <t>12.16m x 18.64m</t>
        </is>
      </c>
      <c r="G4" s="93">
        <f>E4*120</f>
        <v/>
      </c>
      <c r="H4" s="90" t="n">
        <v>106</v>
      </c>
      <c r="I4" s="90" t="n">
        <v>39</v>
      </c>
      <c r="J4" s="99" t="inlineStr">
        <is>
          <t>Disponible</t>
        </is>
      </c>
    </row>
    <row r="5" ht="20" customHeight="1">
      <c r="A5" s="95" t="inlineStr">
        <is>
          <t>L004</t>
        </is>
      </c>
      <c r="B5" s="96" t="inlineStr">
        <is>
          <t>Lote 4</t>
        </is>
      </c>
      <c r="C5" s="95" t="inlineStr">
        <is>
          <t>M1</t>
        </is>
      </c>
      <c r="D5" s="96" t="inlineStr">
        <is>
          <t>Lote Estándar</t>
        </is>
      </c>
      <c r="E5" s="97" t="n">
        <v>225.14</v>
      </c>
      <c r="F5" s="95" t="inlineStr">
        <is>
          <t>12.18m x 18.66m</t>
        </is>
      </c>
      <c r="G5" s="98">
        <f>E5*120</f>
        <v/>
      </c>
      <c r="H5" s="95" t="n">
        <v>107</v>
      </c>
      <c r="I5" s="95" t="n">
        <v>51</v>
      </c>
      <c r="J5" s="99" t="inlineStr">
        <is>
          <t>Disponible</t>
        </is>
      </c>
    </row>
    <row r="6" ht="20" customHeight="1">
      <c r="A6" s="90" t="inlineStr">
        <is>
          <t>L005</t>
        </is>
      </c>
      <c r="B6" s="91" t="inlineStr">
        <is>
          <t>Lote 5</t>
        </is>
      </c>
      <c r="C6" s="90" t="inlineStr">
        <is>
          <t>M1</t>
        </is>
      </c>
      <c r="D6" s="91" t="inlineStr">
        <is>
          <t>Lote Estándar</t>
        </is>
      </c>
      <c r="E6" s="92" t="n">
        <v>226.12</v>
      </c>
      <c r="F6" s="90" t="inlineStr">
        <is>
          <t>12.18m x 18.74m</t>
        </is>
      </c>
      <c r="G6" s="93">
        <f>E6*120</f>
        <v/>
      </c>
      <c r="H6" s="90" t="n">
        <v>108</v>
      </c>
      <c r="I6" s="90" t="n">
        <v>63</v>
      </c>
      <c r="J6" s="100" t="inlineStr">
        <is>
          <t>Vendido</t>
        </is>
      </c>
    </row>
    <row r="7" ht="20" customHeight="1">
      <c r="A7" s="95" t="inlineStr">
        <is>
          <t>L006</t>
        </is>
      </c>
      <c r="B7" s="96" t="inlineStr">
        <is>
          <t>Lote 6</t>
        </is>
      </c>
      <c r="C7" s="95" t="inlineStr">
        <is>
          <t>M1</t>
        </is>
      </c>
      <c r="D7" s="96" t="inlineStr">
        <is>
          <t>Lote Estándar</t>
        </is>
      </c>
      <c r="E7" s="97" t="n">
        <v>227.66</v>
      </c>
      <c r="F7" s="95" t="inlineStr">
        <is>
          <t>12.18m x 18.86m</t>
        </is>
      </c>
      <c r="G7" s="98">
        <f>E7*120</f>
        <v/>
      </c>
      <c r="H7" s="95" t="n">
        <v>109</v>
      </c>
      <c r="I7" s="95" t="n">
        <v>75</v>
      </c>
      <c r="J7" s="99" t="inlineStr">
        <is>
          <t>Disponible</t>
        </is>
      </c>
    </row>
    <row r="8" ht="20" customHeight="1">
      <c r="A8" s="90" t="inlineStr">
        <is>
          <t>L007</t>
        </is>
      </c>
      <c r="B8" s="91" t="inlineStr">
        <is>
          <t>Lote 7</t>
        </is>
      </c>
      <c r="C8" s="90" t="inlineStr">
        <is>
          <t>M1</t>
        </is>
      </c>
      <c r="D8" s="91" t="inlineStr">
        <is>
          <t>Lote Estándar</t>
        </is>
      </c>
      <c r="E8" s="92" t="n">
        <v>229.65</v>
      </c>
      <c r="F8" s="90" t="inlineStr">
        <is>
          <t>12.18m x 19.02m</t>
        </is>
      </c>
      <c r="G8" s="93">
        <f>E8*120</f>
        <v/>
      </c>
      <c r="H8" s="90" t="n">
        <v>110</v>
      </c>
      <c r="I8" s="90" t="n">
        <v>88</v>
      </c>
      <c r="J8" s="99" t="inlineStr">
        <is>
          <t>Disponible</t>
        </is>
      </c>
    </row>
    <row r="9" ht="20" customHeight="1">
      <c r="A9" s="95" t="inlineStr">
        <is>
          <t>L008</t>
        </is>
      </c>
      <c r="B9" s="96" t="inlineStr">
        <is>
          <t>Lote 8</t>
        </is>
      </c>
      <c r="C9" s="95" t="inlineStr">
        <is>
          <t>M2</t>
        </is>
      </c>
      <c r="D9" s="96" t="inlineStr">
        <is>
          <t>Lote Estándar</t>
        </is>
      </c>
      <c r="E9" s="97" t="n">
        <v>230.62</v>
      </c>
      <c r="F9" s="95" t="inlineStr">
        <is>
          <t>12.07m x 19.26m</t>
        </is>
      </c>
      <c r="G9" s="98">
        <f>E9*120</f>
        <v/>
      </c>
      <c r="H9" s="95" t="n">
        <v>112</v>
      </c>
      <c r="I9" s="95" t="n">
        <v>105</v>
      </c>
      <c r="J9" s="99" t="inlineStr">
        <is>
          <t>Disponible</t>
        </is>
      </c>
    </row>
    <row r="10" ht="20" customHeight="1">
      <c r="A10" s="90" t="inlineStr">
        <is>
          <t>L009</t>
        </is>
      </c>
      <c r="B10" s="91" t="inlineStr">
        <is>
          <t>Lote 9</t>
        </is>
      </c>
      <c r="C10" s="90" t="inlineStr">
        <is>
          <t>M2</t>
        </is>
      </c>
      <c r="D10" s="91" t="inlineStr">
        <is>
          <t>Lote Estándar</t>
        </is>
      </c>
      <c r="E10" s="92" t="n">
        <v>231.26</v>
      </c>
      <c r="F10" s="90" t="inlineStr">
        <is>
          <t>12.07m x 19.34m</t>
        </is>
      </c>
      <c r="G10" s="93">
        <f>E10*120</f>
        <v/>
      </c>
      <c r="H10" s="90" t="n">
        <v>112</v>
      </c>
      <c r="I10" s="90" t="n">
        <v>117</v>
      </c>
      <c r="J10" s="99" t="inlineStr">
        <is>
          <t>Disponible</t>
        </is>
      </c>
    </row>
    <row r="11" ht="20" customHeight="1">
      <c r="A11" s="95" t="inlineStr">
        <is>
          <t>L010</t>
        </is>
      </c>
      <c r="B11" s="96" t="inlineStr">
        <is>
          <t>Lote 10</t>
        </is>
      </c>
      <c r="C11" s="95" t="inlineStr">
        <is>
          <t>M2</t>
        </is>
      </c>
      <c r="D11" s="96" t="inlineStr">
        <is>
          <t>Lote Estándar</t>
        </is>
      </c>
      <c r="E11" s="97" t="n">
        <v>231.58</v>
      </c>
      <c r="F11" s="95" t="inlineStr">
        <is>
          <t>12.07m x 19.37m</t>
        </is>
      </c>
      <c r="G11" s="98">
        <f>E11*120</f>
        <v/>
      </c>
      <c r="H11" s="95" t="n">
        <v>112</v>
      </c>
      <c r="I11" s="95" t="n">
        <v>129</v>
      </c>
      <c r="J11" s="99" t="inlineStr">
        <is>
          <t>Disponible</t>
        </is>
      </c>
    </row>
    <row r="12" ht="20" customHeight="1">
      <c r="A12" s="90" t="inlineStr">
        <is>
          <t>L011</t>
        </is>
      </c>
      <c r="B12" s="91" t="inlineStr">
        <is>
          <t>Lote 11</t>
        </is>
      </c>
      <c r="C12" s="90" t="inlineStr">
        <is>
          <t>M2</t>
        </is>
      </c>
      <c r="D12" s="91" t="inlineStr">
        <is>
          <t>Lote Estándar</t>
        </is>
      </c>
      <c r="E12" s="92" t="n">
        <v>231.89</v>
      </c>
      <c r="F12" s="90" t="inlineStr">
        <is>
          <t>12.07m x 19.39m</t>
        </is>
      </c>
      <c r="G12" s="93">
        <f>E12*120</f>
        <v/>
      </c>
      <c r="H12" s="90" t="n">
        <v>112</v>
      </c>
      <c r="I12" s="90" t="n">
        <v>141</v>
      </c>
      <c r="J12" s="99" t="inlineStr">
        <is>
          <t>Disponible</t>
        </is>
      </c>
    </row>
    <row r="13" ht="20" customHeight="1">
      <c r="A13" s="95" t="inlineStr">
        <is>
          <t>L012</t>
        </is>
      </c>
      <c r="B13" s="96" t="inlineStr">
        <is>
          <t>Lote 12</t>
        </is>
      </c>
      <c r="C13" s="95" t="inlineStr">
        <is>
          <t>M2</t>
        </is>
      </c>
      <c r="D13" s="96" t="inlineStr">
        <is>
          <t>Lote Estándar</t>
        </is>
      </c>
      <c r="E13" s="97" t="n">
        <v>232.2</v>
      </c>
      <c r="F13" s="95" t="inlineStr">
        <is>
          <t>12.07m x 19.42m</t>
        </is>
      </c>
      <c r="G13" s="98">
        <f>E13*120</f>
        <v/>
      </c>
      <c r="H13" s="95" t="n">
        <v>112</v>
      </c>
      <c r="I13" s="95" t="n">
        <v>145</v>
      </c>
      <c r="J13" s="101" t="inlineStr">
        <is>
          <t>Disponible</t>
        </is>
      </c>
    </row>
    <row r="14" ht="20" customHeight="1">
      <c r="A14" s="90" t="inlineStr">
        <is>
          <t>L013</t>
        </is>
      </c>
      <c r="B14" s="91" t="inlineStr">
        <is>
          <t>Lote 13</t>
        </is>
      </c>
      <c r="C14" s="90" t="inlineStr">
        <is>
          <t>M2</t>
        </is>
      </c>
      <c r="D14" s="91" t="inlineStr">
        <is>
          <t>Lote Estándar</t>
        </is>
      </c>
      <c r="E14" s="92" t="n">
        <v>232.53</v>
      </c>
      <c r="F14" s="90" t="inlineStr">
        <is>
          <t>12.07m x 19.45m</t>
        </is>
      </c>
      <c r="G14" s="93">
        <f>E14*120</f>
        <v/>
      </c>
      <c r="H14" s="90" t="n">
        <v>112</v>
      </c>
      <c r="I14" s="90" t="n">
        <v>145</v>
      </c>
      <c r="J14" s="99" t="inlineStr">
        <is>
          <t>Disponible</t>
        </is>
      </c>
    </row>
    <row r="15" ht="20" customHeight="1">
      <c r="A15" s="95" t="inlineStr">
        <is>
          <t>L014</t>
        </is>
      </c>
      <c r="B15" s="96" t="inlineStr">
        <is>
          <t>Lote 14</t>
        </is>
      </c>
      <c r="C15" s="95" t="inlineStr">
        <is>
          <t>M2</t>
        </is>
      </c>
      <c r="D15" s="96" t="inlineStr">
        <is>
          <t>Lote Estándar</t>
        </is>
      </c>
      <c r="E15" s="97" t="n">
        <v>232.84</v>
      </c>
      <c r="F15" s="95" t="inlineStr">
        <is>
          <t>12.07m x 19.47m</t>
        </is>
      </c>
      <c r="G15" s="98">
        <f>E15*120</f>
        <v/>
      </c>
      <c r="H15" s="95" t="n">
        <v>113</v>
      </c>
      <c r="I15" s="95" t="n">
        <v>145</v>
      </c>
      <c r="J15" s="99" t="inlineStr">
        <is>
          <t>Separado</t>
        </is>
      </c>
    </row>
    <row r="16" ht="20" customHeight="1">
      <c r="A16" s="90" t="inlineStr">
        <is>
          <t>L015</t>
        </is>
      </c>
      <c r="B16" s="91" t="inlineStr">
        <is>
          <t>Lote 15</t>
        </is>
      </c>
      <c r="C16" s="90" t="inlineStr">
        <is>
          <t>M2</t>
        </is>
      </c>
      <c r="D16" s="91" t="inlineStr">
        <is>
          <t>Lote Estándar</t>
        </is>
      </c>
      <c r="E16" s="92" t="n">
        <v>233.15</v>
      </c>
      <c r="F16" s="90" t="inlineStr">
        <is>
          <t>12.07m x 19.50m</t>
        </is>
      </c>
      <c r="G16" s="93">
        <f>E16*120</f>
        <v/>
      </c>
      <c r="H16" s="90" t="n">
        <v>113</v>
      </c>
      <c r="I16" s="90" t="n">
        <v>145</v>
      </c>
      <c r="J16" s="99" t="inlineStr">
        <is>
          <t>Disponible</t>
        </is>
      </c>
    </row>
    <row r="17" ht="20" customHeight="1">
      <c r="A17" s="95" t="inlineStr">
        <is>
          <t>L016</t>
        </is>
      </c>
      <c r="B17" s="96" t="inlineStr">
        <is>
          <t>Lote 16</t>
        </is>
      </c>
      <c r="C17" s="95" t="inlineStr">
        <is>
          <t>M2</t>
        </is>
      </c>
      <c r="D17" s="96" t="inlineStr">
        <is>
          <t>Lote Estándar</t>
        </is>
      </c>
      <c r="E17" s="97" t="n">
        <v>233.46</v>
      </c>
      <c r="F17" s="95" t="inlineStr">
        <is>
          <t>12.07m x 19.52m</t>
        </is>
      </c>
      <c r="G17" s="98">
        <f>E17*120</f>
        <v/>
      </c>
      <c r="H17" s="95" t="n">
        <v>113</v>
      </c>
      <c r="I17" s="95" t="n">
        <v>145</v>
      </c>
      <c r="J17" s="99" t="inlineStr">
        <is>
          <t>Disponible</t>
        </is>
      </c>
    </row>
    <row r="18" ht="20" customHeight="1">
      <c r="A18" s="90" t="inlineStr">
        <is>
          <t>L017</t>
        </is>
      </c>
      <c r="B18" s="91" t="inlineStr">
        <is>
          <t>Lote 17</t>
        </is>
      </c>
      <c r="C18" s="90" t="inlineStr">
        <is>
          <t>M2</t>
        </is>
      </c>
      <c r="D18" s="91" t="inlineStr">
        <is>
          <t>Lote Estándar</t>
        </is>
      </c>
      <c r="E18" s="92" t="n">
        <v>233.77</v>
      </c>
      <c r="F18" s="90" t="inlineStr">
        <is>
          <t>12.07m x 19.55m</t>
        </is>
      </c>
      <c r="G18" s="93">
        <f>E18*120</f>
        <v/>
      </c>
      <c r="H18" s="90" t="n">
        <v>112</v>
      </c>
      <c r="I18" s="90" t="n">
        <v>133</v>
      </c>
      <c r="J18" s="99" t="inlineStr">
        <is>
          <t>Disponible</t>
        </is>
      </c>
    </row>
    <row r="19" ht="20" customHeight="1">
      <c r="A19" s="95" t="inlineStr">
        <is>
          <t>L018</t>
        </is>
      </c>
      <c r="B19" s="96" t="inlineStr">
        <is>
          <t>Lote 18</t>
        </is>
      </c>
      <c r="C19" s="95" t="inlineStr">
        <is>
          <t>M3</t>
        </is>
      </c>
      <c r="D19" s="96" t="inlineStr">
        <is>
          <t>Lote Estándar</t>
        </is>
      </c>
      <c r="E19" s="97" t="n">
        <v>242.86</v>
      </c>
      <c r="F19" s="95" t="inlineStr">
        <is>
          <t>12.54m x 19.53m</t>
        </is>
      </c>
      <c r="G19" s="98">
        <f>E19*120</f>
        <v/>
      </c>
      <c r="H19" s="95" t="n">
        <v>111</v>
      </c>
      <c r="I19" s="95" t="n">
        <v>115</v>
      </c>
      <c r="J19" s="99" t="inlineStr">
        <is>
          <t>Disponible</t>
        </is>
      </c>
    </row>
    <row r="20" ht="20" customHeight="1">
      <c r="A20" s="90" t="inlineStr">
        <is>
          <t>L019</t>
        </is>
      </c>
      <c r="B20" s="91" t="inlineStr">
        <is>
          <t>Lote 19</t>
        </is>
      </c>
      <c r="C20" s="90" t="inlineStr">
        <is>
          <t>M3</t>
        </is>
      </c>
      <c r="D20" s="91" t="inlineStr">
        <is>
          <t>Lote Estándar</t>
        </is>
      </c>
      <c r="E20" s="92" t="n">
        <v>241.12</v>
      </c>
      <c r="F20" s="90" t="inlineStr">
        <is>
          <t>12.54m x 19.42m</t>
        </is>
      </c>
      <c r="G20" s="93">
        <f>E20*120</f>
        <v/>
      </c>
      <c r="H20" s="90" t="n">
        <v>110</v>
      </c>
      <c r="I20" s="90" t="n">
        <v>103</v>
      </c>
      <c r="J20" s="99" t="inlineStr">
        <is>
          <t>Disponible</t>
        </is>
      </c>
    </row>
    <row r="21" ht="20" customHeight="1">
      <c r="A21" s="95" t="inlineStr">
        <is>
          <t>L020</t>
        </is>
      </c>
      <c r="B21" s="96" t="inlineStr">
        <is>
          <t>Lote 20</t>
        </is>
      </c>
      <c r="C21" s="95" t="inlineStr">
        <is>
          <t>M3</t>
        </is>
      </c>
      <c r="D21" s="96" t="inlineStr">
        <is>
          <t>Lote Estándar</t>
        </is>
      </c>
      <c r="E21" s="97" t="n">
        <v>239.55</v>
      </c>
      <c r="F21" s="95" t="inlineStr">
        <is>
          <t>12.54m x 19.29m</t>
        </is>
      </c>
      <c r="G21" s="98">
        <f>E21*120</f>
        <v/>
      </c>
      <c r="H21" s="95" t="n">
        <v>109</v>
      </c>
      <c r="I21" s="95" t="n">
        <v>91</v>
      </c>
      <c r="J21" s="99" t="inlineStr">
        <is>
          <t>Disponible</t>
        </is>
      </c>
    </row>
    <row r="22" ht="20" customHeight="1">
      <c r="A22" s="90" t="inlineStr">
        <is>
          <t>L021</t>
        </is>
      </c>
      <c r="B22" s="91" t="inlineStr">
        <is>
          <t>Lote 21</t>
        </is>
      </c>
      <c r="C22" s="90" t="inlineStr">
        <is>
          <t>M3</t>
        </is>
      </c>
      <c r="D22" s="91" t="inlineStr">
        <is>
          <t>Lote Estándar</t>
        </is>
      </c>
      <c r="E22" s="92" t="n">
        <v>238.43</v>
      </c>
      <c r="F22" s="90" t="inlineStr">
        <is>
          <t>12.54m x 19.19m</t>
        </is>
      </c>
      <c r="G22" s="93">
        <f>E22*120</f>
        <v/>
      </c>
      <c r="H22" s="90" t="n">
        <v>109</v>
      </c>
      <c r="I22" s="90" t="n">
        <v>78</v>
      </c>
      <c r="J22" s="99" t="inlineStr">
        <is>
          <t>Disponible</t>
        </is>
      </c>
    </row>
    <row r="23" ht="20" customHeight="1">
      <c r="A23" s="95" t="inlineStr">
        <is>
          <t>L022</t>
        </is>
      </c>
      <c r="B23" s="96" t="inlineStr">
        <is>
          <t>Lote 22</t>
        </is>
      </c>
      <c r="C23" s="95" t="inlineStr">
        <is>
          <t>M3</t>
        </is>
      </c>
      <c r="D23" s="96" t="inlineStr">
        <is>
          <t>Lote Estándar</t>
        </is>
      </c>
      <c r="E23" s="97" t="n">
        <v>238.17</v>
      </c>
      <c r="F23" s="95" t="inlineStr">
        <is>
          <t>12.56m x 19.15m</t>
        </is>
      </c>
      <c r="G23" s="98">
        <f>E23*120</f>
        <v/>
      </c>
      <c r="H23" s="95" t="n">
        <v>109</v>
      </c>
      <c r="I23" s="95" t="n">
        <v>65</v>
      </c>
      <c r="J23" s="99" t="inlineStr">
        <is>
          <t>Disponible</t>
        </is>
      </c>
    </row>
    <row r="24" ht="20" customHeight="1">
      <c r="A24" s="90" t="inlineStr">
        <is>
          <t>L023</t>
        </is>
      </c>
      <c r="B24" s="91" t="inlineStr">
        <is>
          <t>Lote 23</t>
        </is>
      </c>
      <c r="C24" s="90" t="inlineStr">
        <is>
          <t>M3</t>
        </is>
      </c>
      <c r="D24" s="91" t="inlineStr">
        <is>
          <t>Lote Estándar</t>
        </is>
      </c>
      <c r="E24" s="92" t="n">
        <v>238.37</v>
      </c>
      <c r="F24" s="90" t="inlineStr">
        <is>
          <t>12.56m x 19.16m</t>
        </is>
      </c>
      <c r="G24" s="93">
        <f>E24*120</f>
        <v/>
      </c>
      <c r="H24" s="90" t="n">
        <v>110</v>
      </c>
      <c r="I24" s="90" t="n">
        <v>53</v>
      </c>
      <c r="J24" s="99" t="inlineStr">
        <is>
          <t>Disponible</t>
        </is>
      </c>
    </row>
    <row r="25" ht="20" customHeight="1">
      <c r="A25" s="95" t="inlineStr">
        <is>
          <t>L024</t>
        </is>
      </c>
      <c r="B25" s="96" t="inlineStr">
        <is>
          <t>Lote 24</t>
        </is>
      </c>
      <c r="C25" s="95" t="inlineStr">
        <is>
          <t>M3</t>
        </is>
      </c>
      <c r="D25" s="96" t="inlineStr">
        <is>
          <t>Lote Estándar</t>
        </is>
      </c>
      <c r="E25" s="97" t="n">
        <v>239.29</v>
      </c>
      <c r="F25" s="95" t="inlineStr">
        <is>
          <t>12.56m x 19.22m</t>
        </is>
      </c>
      <c r="G25" s="98">
        <f>E25*120</f>
        <v/>
      </c>
      <c r="H25" s="95" t="n">
        <v>110</v>
      </c>
      <c r="I25" s="95" t="n">
        <v>40</v>
      </c>
      <c r="J25" s="99" t="inlineStr">
        <is>
          <t>Disponible</t>
        </is>
      </c>
    </row>
    <row r="26" ht="20" customHeight="1">
      <c r="A26" s="90" t="inlineStr">
        <is>
          <t>L025</t>
        </is>
      </c>
      <c r="B26" s="91" t="inlineStr">
        <is>
          <t>Lote 25</t>
        </is>
      </c>
      <c r="C26" s="90" t="inlineStr">
        <is>
          <t>M3</t>
        </is>
      </c>
      <c r="D26" s="91" t="inlineStr">
        <is>
          <t>Lote Estándar</t>
        </is>
      </c>
      <c r="E26" s="92" t="n">
        <v>240.86</v>
      </c>
      <c r="F26" s="90" t="inlineStr">
        <is>
          <t>12.56m x 19.34m</t>
        </is>
      </c>
      <c r="G26" s="93">
        <f>E26*120</f>
        <v/>
      </c>
      <c r="H26" s="90" t="n">
        <v>111</v>
      </c>
      <c r="I26" s="90" t="n">
        <v>28</v>
      </c>
      <c r="J26" s="99" t="inlineStr">
        <is>
          <t>Disponible</t>
        </is>
      </c>
    </row>
    <row r="27" ht="20" customHeight="1">
      <c r="A27" s="95" t="inlineStr">
        <is>
          <t>L026</t>
        </is>
      </c>
      <c r="B27" s="96" t="inlineStr">
        <is>
          <t>Lote 26</t>
        </is>
      </c>
      <c r="C27" s="95" t="inlineStr">
        <is>
          <t>M3</t>
        </is>
      </c>
      <c r="D27" s="96" t="inlineStr">
        <is>
          <t>Lote Estándar</t>
        </is>
      </c>
      <c r="E27" s="97" t="n">
        <v>242.97</v>
      </c>
      <c r="F27" s="95" t="inlineStr">
        <is>
          <t>12.56m x 19.51m</t>
        </is>
      </c>
      <c r="G27" s="98">
        <f>E27*120</f>
        <v/>
      </c>
      <c r="H27" s="95" t="n">
        <v>113</v>
      </c>
      <c r="I27" s="95" t="n">
        <v>15</v>
      </c>
      <c r="J27" s="99" t="inlineStr">
        <is>
          <t>Disponible</t>
        </is>
      </c>
    </row>
    <row r="28" ht="20" customHeight="1">
      <c r="A28" s="90" t="inlineStr">
        <is>
          <t>L027</t>
        </is>
      </c>
      <c r="B28" s="91" t="inlineStr">
        <is>
          <t>Lote 27</t>
        </is>
      </c>
      <c r="C28" s="90" t="inlineStr">
        <is>
          <t>M4</t>
        </is>
      </c>
      <c r="D28" s="91" t="inlineStr">
        <is>
          <t>Lote Estándar</t>
        </is>
      </c>
      <c r="E28" s="92" t="n">
        <v>155.33</v>
      </c>
      <c r="F28" s="90" t="inlineStr">
        <is>
          <t>12.16m x 12.93m</t>
        </is>
      </c>
      <c r="G28" s="93">
        <f>E28*120</f>
        <v/>
      </c>
      <c r="H28" s="90" t="n">
        <v>83</v>
      </c>
      <c r="I28" s="90" t="n">
        <v>14</v>
      </c>
      <c r="J28" s="99" t="inlineStr">
        <is>
          <t>Disponible</t>
        </is>
      </c>
    </row>
    <row r="29" ht="20" customHeight="1">
      <c r="A29" s="95" t="inlineStr">
        <is>
          <t>L028</t>
        </is>
      </c>
      <c r="B29" s="96" t="inlineStr">
        <is>
          <t>Lote 28</t>
        </is>
      </c>
      <c r="C29" s="95" t="inlineStr">
        <is>
          <t>M4</t>
        </is>
      </c>
      <c r="D29" s="96" t="inlineStr">
        <is>
          <t>Lote Estándar</t>
        </is>
      </c>
      <c r="E29" s="97" t="n">
        <v>154.84</v>
      </c>
      <c r="F29" s="95" t="inlineStr">
        <is>
          <t>12.16m x 12.88m</t>
        </is>
      </c>
      <c r="G29" s="98">
        <f>E29*120</f>
        <v/>
      </c>
      <c r="H29" s="95" t="n">
        <v>82</v>
      </c>
      <c r="I29" s="95" t="n">
        <v>26</v>
      </c>
      <c r="J29" s="99" t="inlineStr">
        <is>
          <t>Disponible</t>
        </is>
      </c>
    </row>
    <row r="30" ht="20" customHeight="1">
      <c r="A30" s="90" t="inlineStr">
        <is>
          <t>L029</t>
        </is>
      </c>
      <c r="B30" s="91" t="inlineStr">
        <is>
          <t>Lote 29</t>
        </is>
      </c>
      <c r="C30" s="90" t="inlineStr">
        <is>
          <t>M4</t>
        </is>
      </c>
      <c r="D30" s="91" t="inlineStr">
        <is>
          <t>Lote Estándar</t>
        </is>
      </c>
      <c r="E30" s="92" t="n">
        <v>154.75</v>
      </c>
      <c r="F30" s="90" t="inlineStr">
        <is>
          <t>12.16m x 12.86m</t>
        </is>
      </c>
      <c r="G30" s="93">
        <f>E30*120</f>
        <v/>
      </c>
      <c r="H30" s="90" t="n">
        <v>83</v>
      </c>
      <c r="I30" s="90" t="n">
        <v>38</v>
      </c>
      <c r="J30" s="99" t="inlineStr">
        <is>
          <t>Disponible</t>
        </is>
      </c>
    </row>
    <row r="31" ht="20" customHeight="1">
      <c r="A31" s="95" t="inlineStr">
        <is>
          <t>L030</t>
        </is>
      </c>
      <c r="B31" s="96" t="inlineStr">
        <is>
          <t>Lote 30</t>
        </is>
      </c>
      <c r="C31" s="95" t="inlineStr">
        <is>
          <t>M4</t>
        </is>
      </c>
      <c r="D31" s="96" t="inlineStr">
        <is>
          <t>Lote Estándar</t>
        </is>
      </c>
      <c r="E31" s="97" t="n">
        <v>155.4</v>
      </c>
      <c r="F31" s="95" t="inlineStr">
        <is>
          <t>12.19m x 12.87m</t>
        </is>
      </c>
      <c r="G31" s="98">
        <f>E31*120</f>
        <v/>
      </c>
      <c r="H31" s="95" t="n">
        <v>83</v>
      </c>
      <c r="I31" s="95" t="n">
        <v>51</v>
      </c>
      <c r="J31" s="99" t="inlineStr">
        <is>
          <t>Disponible</t>
        </is>
      </c>
    </row>
    <row r="32" ht="20" customHeight="1">
      <c r="A32" s="90" t="inlineStr">
        <is>
          <t>L031</t>
        </is>
      </c>
      <c r="B32" s="91" t="inlineStr">
        <is>
          <t>Lote 31</t>
        </is>
      </c>
      <c r="C32" s="90" t="inlineStr">
        <is>
          <t>M4</t>
        </is>
      </c>
      <c r="D32" s="91" t="inlineStr">
        <is>
          <t>Lote Estándar</t>
        </is>
      </c>
      <c r="E32" s="92" t="n">
        <v>156.18</v>
      </c>
      <c r="F32" s="90" t="inlineStr">
        <is>
          <t>12.19m x 12.92m</t>
        </is>
      </c>
      <c r="G32" s="93">
        <f>E32*120</f>
        <v/>
      </c>
      <c r="H32" s="90" t="n">
        <v>84</v>
      </c>
      <c r="I32" s="90" t="n">
        <v>63</v>
      </c>
      <c r="J32" s="99" t="inlineStr">
        <is>
          <t>Disponible</t>
        </is>
      </c>
    </row>
    <row r="33" ht="20" customHeight="1">
      <c r="A33" s="95" t="inlineStr">
        <is>
          <t>L032</t>
        </is>
      </c>
      <c r="B33" s="96" t="inlineStr">
        <is>
          <t>Lote 32</t>
        </is>
      </c>
      <c r="C33" s="95" t="inlineStr">
        <is>
          <t>M4</t>
        </is>
      </c>
      <c r="D33" s="96" t="inlineStr">
        <is>
          <t>Lote Estándar</t>
        </is>
      </c>
      <c r="E33" s="97" t="n">
        <v>157.33</v>
      </c>
      <c r="F33" s="95" t="inlineStr">
        <is>
          <t>12.19m x 13.01m</t>
        </is>
      </c>
      <c r="G33" s="98">
        <f>E33*120</f>
        <v/>
      </c>
      <c r="H33" s="95" t="n">
        <v>85</v>
      </c>
      <c r="I33" s="95" t="n">
        <v>75</v>
      </c>
      <c r="J33" s="99" t="inlineStr">
        <is>
          <t>Disponible</t>
        </is>
      </c>
    </row>
    <row r="34" ht="20" customHeight="1">
      <c r="A34" s="90" t="inlineStr">
        <is>
          <t>L033</t>
        </is>
      </c>
      <c r="B34" s="91" t="inlineStr">
        <is>
          <t>Lote 33</t>
        </is>
      </c>
      <c r="C34" s="90" t="inlineStr">
        <is>
          <t>M4</t>
        </is>
      </c>
      <c r="D34" s="91" t="inlineStr">
        <is>
          <t>Lote Estándar</t>
        </is>
      </c>
      <c r="E34" s="92" t="n">
        <v>158.77</v>
      </c>
      <c r="F34" s="90" t="inlineStr">
        <is>
          <t>12.19m x 13.12m</t>
        </is>
      </c>
      <c r="G34" s="93">
        <f>E34*120</f>
        <v/>
      </c>
      <c r="H34" s="90" t="n">
        <v>86</v>
      </c>
      <c r="I34" s="90" t="n">
        <v>87</v>
      </c>
      <c r="J34" s="100" t="inlineStr">
        <is>
          <t>Vendido</t>
        </is>
      </c>
    </row>
    <row r="35" ht="20" customHeight="1">
      <c r="A35" s="95" t="inlineStr">
        <is>
          <t>L034</t>
        </is>
      </c>
      <c r="B35" s="96" t="inlineStr">
        <is>
          <t>Lote 34</t>
        </is>
      </c>
      <c r="C35" s="95" t="inlineStr">
        <is>
          <t>M5</t>
        </is>
      </c>
      <c r="D35" s="96" t="inlineStr">
        <is>
          <t>Lote Estándar</t>
        </is>
      </c>
      <c r="E35" s="97" t="n">
        <v>159.37</v>
      </c>
      <c r="F35" s="95" t="inlineStr">
        <is>
          <t>12.07m x 13.28m</t>
        </is>
      </c>
      <c r="G35" s="98">
        <f>E35*120</f>
        <v/>
      </c>
      <c r="H35" s="95" t="n">
        <v>87</v>
      </c>
      <c r="I35" s="95" t="n">
        <v>105</v>
      </c>
      <c r="J35" s="99" t="inlineStr">
        <is>
          <t>Disponible</t>
        </is>
      </c>
    </row>
    <row r="36" ht="20" customHeight="1">
      <c r="A36" s="90" t="inlineStr">
        <is>
          <t>L035</t>
        </is>
      </c>
      <c r="B36" s="91" t="inlineStr">
        <is>
          <t>Lote 35</t>
        </is>
      </c>
      <c r="C36" s="90" t="inlineStr">
        <is>
          <t>M5</t>
        </is>
      </c>
      <c r="D36" s="91" t="inlineStr">
        <is>
          <t>Lote Estándar</t>
        </is>
      </c>
      <c r="E36" s="92" t="n">
        <v>159.58</v>
      </c>
      <c r="F36" s="90" t="inlineStr">
        <is>
          <t>12.07m x 13.34m</t>
        </is>
      </c>
      <c r="G36" s="93">
        <f>E36*120</f>
        <v/>
      </c>
      <c r="H36" s="90" t="n">
        <v>87</v>
      </c>
      <c r="I36" s="90" t="n">
        <v>116</v>
      </c>
      <c r="J36" s="99" t="inlineStr">
        <is>
          <t>Disponible</t>
        </is>
      </c>
    </row>
    <row r="37" ht="20" customHeight="1">
      <c r="A37" s="95" t="inlineStr">
        <is>
          <t>L036</t>
        </is>
      </c>
      <c r="B37" s="96" t="inlineStr">
        <is>
          <t>Lote 36</t>
        </is>
      </c>
      <c r="C37" s="95" t="inlineStr">
        <is>
          <t>M5</t>
        </is>
      </c>
      <c r="D37" s="96" t="inlineStr">
        <is>
          <t>Lote Estándar</t>
        </is>
      </c>
      <c r="E37" s="97" t="n">
        <v>159.8</v>
      </c>
      <c r="F37" s="95" t="inlineStr">
        <is>
          <t>12.07m x 13.36m</t>
        </is>
      </c>
      <c r="G37" s="98">
        <f>E37*120</f>
        <v/>
      </c>
      <c r="H37" s="95" t="n">
        <v>87</v>
      </c>
      <c r="I37" s="95" t="n">
        <v>128</v>
      </c>
      <c r="J37" s="99" t="inlineStr">
        <is>
          <t>Disponible</t>
        </is>
      </c>
    </row>
    <row r="38" ht="20" customHeight="1">
      <c r="A38" s="90" t="inlineStr">
        <is>
          <t>L037</t>
        </is>
      </c>
      <c r="B38" s="91" t="inlineStr">
        <is>
          <t>Lote 37</t>
        </is>
      </c>
      <c r="C38" s="90" t="inlineStr">
        <is>
          <t>M5</t>
        </is>
      </c>
      <c r="D38" s="91" t="inlineStr">
        <is>
          <t>Lote Estándar</t>
        </is>
      </c>
      <c r="E38" s="92" t="n">
        <v>160.01</v>
      </c>
      <c r="F38" s="90" t="inlineStr">
        <is>
          <t>12.07m x 13.38m</t>
        </is>
      </c>
      <c r="G38" s="93">
        <f>E38*120</f>
        <v/>
      </c>
      <c r="H38" s="90" t="n">
        <v>88</v>
      </c>
      <c r="I38" s="90" t="n">
        <v>140</v>
      </c>
      <c r="J38" s="99" t="inlineStr">
        <is>
          <t>Disponible</t>
        </is>
      </c>
    </row>
    <row r="39" ht="20" customHeight="1">
      <c r="A39" s="95" t="inlineStr">
        <is>
          <t>L038</t>
        </is>
      </c>
      <c r="B39" s="96" t="inlineStr">
        <is>
          <t>Lote 38</t>
        </is>
      </c>
      <c r="C39" s="95" t="inlineStr">
        <is>
          <t>M5</t>
        </is>
      </c>
      <c r="D39" s="96" t="inlineStr">
        <is>
          <t>Lote Estándar</t>
        </is>
      </c>
      <c r="E39" s="97" t="n">
        <v>160.23</v>
      </c>
      <c r="F39" s="95" t="inlineStr">
        <is>
          <t>12.07m x 13.39m</t>
        </is>
      </c>
      <c r="G39" s="98">
        <f>E39*120</f>
        <v/>
      </c>
      <c r="H39" s="95" t="n">
        <v>88</v>
      </c>
      <c r="I39" s="95" t="n">
        <v>145</v>
      </c>
      <c r="J39" s="99" t="inlineStr">
        <is>
          <t>Disponible</t>
        </is>
      </c>
    </row>
    <row r="40" ht="20" customHeight="1">
      <c r="A40" s="90" t="inlineStr">
        <is>
          <t>L039</t>
        </is>
      </c>
      <c r="B40" s="91" t="inlineStr">
        <is>
          <t>Lote 39</t>
        </is>
      </c>
      <c r="C40" s="90" t="inlineStr">
        <is>
          <t>M5</t>
        </is>
      </c>
      <c r="D40" s="91" t="inlineStr">
        <is>
          <t>Lote Estándar</t>
        </is>
      </c>
      <c r="E40" s="92" t="n">
        <v>160.45</v>
      </c>
      <c r="F40" s="90" t="inlineStr">
        <is>
          <t>12.07m x 13.41m</t>
        </is>
      </c>
      <c r="G40" s="93">
        <f>E40*120</f>
        <v/>
      </c>
      <c r="H40" s="90" t="n">
        <v>88</v>
      </c>
      <c r="I40" s="90" t="n">
        <v>145</v>
      </c>
      <c r="J40" s="99" t="inlineStr">
        <is>
          <t>Disponible</t>
        </is>
      </c>
    </row>
    <row r="41" ht="20" customHeight="1">
      <c r="A41" s="95" t="inlineStr">
        <is>
          <t>L040</t>
        </is>
      </c>
      <c r="B41" s="96" t="inlineStr">
        <is>
          <t>Lote 40</t>
        </is>
      </c>
      <c r="C41" s="95" t="inlineStr">
        <is>
          <t>M5</t>
        </is>
      </c>
      <c r="D41" s="96" t="inlineStr">
        <is>
          <t>Lote Estándar</t>
        </is>
      </c>
      <c r="E41" s="97" t="n">
        <v>160.67</v>
      </c>
      <c r="F41" s="95" t="inlineStr">
        <is>
          <t>12.07m x 13.43m</t>
        </is>
      </c>
      <c r="G41" s="98">
        <f>E41*120</f>
        <v/>
      </c>
      <c r="H41" s="95" t="n">
        <v>88</v>
      </c>
      <c r="I41" s="95" t="n">
        <v>145</v>
      </c>
      <c r="J41" s="99" t="inlineStr">
        <is>
          <t>Disponible</t>
        </is>
      </c>
    </row>
    <row r="42" ht="20" customHeight="1">
      <c r="A42" s="90" t="inlineStr">
        <is>
          <t>L041</t>
        </is>
      </c>
      <c r="B42" s="91" t="inlineStr">
        <is>
          <t>Lote 41</t>
        </is>
      </c>
      <c r="C42" s="90" t="inlineStr">
        <is>
          <t>M5</t>
        </is>
      </c>
      <c r="D42" s="91" t="inlineStr">
        <is>
          <t>Lote Estándar</t>
        </is>
      </c>
      <c r="E42" s="92" t="n">
        <v>160.88</v>
      </c>
      <c r="F42" s="90" t="inlineStr">
        <is>
          <t>12.07m x 13.45m</t>
        </is>
      </c>
      <c r="G42" s="93">
        <f>E42*120</f>
        <v/>
      </c>
      <c r="H42" s="90" t="n">
        <v>88</v>
      </c>
      <c r="I42" s="90" t="n">
        <v>145</v>
      </c>
      <c r="J42" s="99" t="inlineStr">
        <is>
          <t>Disponible</t>
        </is>
      </c>
    </row>
    <row r="43" ht="20" customHeight="1">
      <c r="A43" s="95" t="inlineStr">
        <is>
          <t>L042</t>
        </is>
      </c>
      <c r="B43" s="96" t="inlineStr">
        <is>
          <t>Lote 42</t>
        </is>
      </c>
      <c r="C43" s="95" t="inlineStr">
        <is>
          <t>M5</t>
        </is>
      </c>
      <c r="D43" s="96" t="inlineStr">
        <is>
          <t>Lote Estándar</t>
        </is>
      </c>
      <c r="E43" s="97" t="n">
        <v>161.1</v>
      </c>
      <c r="F43" s="95" t="inlineStr">
        <is>
          <t>12.07m x 13.46m</t>
        </is>
      </c>
      <c r="G43" s="98">
        <f>E43*120</f>
        <v/>
      </c>
      <c r="H43" s="95" t="n">
        <v>88</v>
      </c>
      <c r="I43" s="95" t="n">
        <v>145</v>
      </c>
      <c r="J43" s="99" t="inlineStr">
        <is>
          <t>Disponible</t>
        </is>
      </c>
    </row>
    <row r="44" ht="20" customHeight="1">
      <c r="A44" s="90" t="inlineStr">
        <is>
          <t>L043</t>
        </is>
      </c>
      <c r="B44" s="91" t="inlineStr">
        <is>
          <t>Lote 43</t>
        </is>
      </c>
      <c r="C44" s="90" t="inlineStr">
        <is>
          <t>M5</t>
        </is>
      </c>
      <c r="D44" s="91" t="inlineStr">
        <is>
          <t>Lote Estándar</t>
        </is>
      </c>
      <c r="E44" s="92" t="n">
        <v>161.31</v>
      </c>
      <c r="F44" s="90" t="inlineStr">
        <is>
          <t>12.07m x 13.48m</t>
        </is>
      </c>
      <c r="G44" s="93">
        <f>E44*120</f>
        <v/>
      </c>
      <c r="H44" s="90" t="n">
        <v>88</v>
      </c>
      <c r="I44" s="90" t="n">
        <v>133</v>
      </c>
      <c r="J44" s="99" t="inlineStr">
        <is>
          <t>Disponible</t>
        </is>
      </c>
    </row>
    <row r="45" ht="20" customHeight="1">
      <c r="A45" s="95" t="inlineStr">
        <is>
          <t>L044</t>
        </is>
      </c>
      <c r="B45" s="96" t="inlineStr">
        <is>
          <t>Lote 44</t>
        </is>
      </c>
      <c r="C45" s="95" t="inlineStr">
        <is>
          <t>M6</t>
        </is>
      </c>
      <c r="D45" s="96" t="inlineStr">
        <is>
          <t>Lote Estándar</t>
        </is>
      </c>
      <c r="E45" s="97" t="n">
        <v>167.41</v>
      </c>
      <c r="F45" s="95" t="inlineStr">
        <is>
          <t>12.55m x 13.47m</t>
        </is>
      </c>
      <c r="G45" s="98">
        <f>E45*120</f>
        <v/>
      </c>
      <c r="H45" s="95" t="n">
        <v>86</v>
      </c>
      <c r="I45" s="95" t="n">
        <v>116</v>
      </c>
      <c r="J45" s="99" t="inlineStr">
        <is>
          <t>Disponible</t>
        </is>
      </c>
    </row>
    <row r="46" ht="20" customHeight="1">
      <c r="A46" s="90" t="inlineStr">
        <is>
          <t>L045</t>
        </is>
      </c>
      <c r="B46" s="91" t="inlineStr">
        <is>
          <t>Lote 45</t>
        </is>
      </c>
      <c r="C46" s="90" t="inlineStr">
        <is>
          <t>M6</t>
        </is>
      </c>
      <c r="D46" s="91" t="inlineStr">
        <is>
          <t>Lote Estándar</t>
        </is>
      </c>
      <c r="E46" s="92" t="n">
        <v>166.06</v>
      </c>
      <c r="F46" s="90" t="inlineStr">
        <is>
          <t>12.55m x 13.39m</t>
        </is>
      </c>
      <c r="G46" s="93">
        <f>E46*120</f>
        <v/>
      </c>
      <c r="H46" s="90" t="n">
        <v>86</v>
      </c>
      <c r="I46" s="90" t="n">
        <v>103</v>
      </c>
      <c r="J46" s="101" t="inlineStr">
        <is>
          <t>Disponible</t>
        </is>
      </c>
    </row>
    <row r="47" ht="20" customHeight="1">
      <c r="A47" s="95" t="inlineStr">
        <is>
          <t>L046</t>
        </is>
      </c>
      <c r="B47" s="96" t="inlineStr">
        <is>
          <t>Lote 46</t>
        </is>
      </c>
      <c r="C47" s="95" t="inlineStr">
        <is>
          <t>M6</t>
        </is>
      </c>
      <c r="D47" s="96" t="inlineStr">
        <is>
          <t>Lote Estándar</t>
        </is>
      </c>
      <c r="E47" s="97" t="n">
        <v>165.05</v>
      </c>
      <c r="F47" s="95" t="inlineStr">
        <is>
          <t>12.55m x 13.30m</t>
        </is>
      </c>
      <c r="G47" s="98">
        <f>E47*120</f>
        <v/>
      </c>
      <c r="H47" s="95" t="n">
        <v>85</v>
      </c>
      <c r="I47" s="95" t="n">
        <v>91</v>
      </c>
      <c r="J47" s="99" t="inlineStr">
        <is>
          <t>Disponible</t>
        </is>
      </c>
    </row>
    <row r="48" ht="20" customHeight="1">
      <c r="A48" s="90" t="inlineStr">
        <is>
          <t>L047</t>
        </is>
      </c>
      <c r="B48" s="91" t="inlineStr">
        <is>
          <t>Lote 47</t>
        </is>
      </c>
      <c r="C48" s="90" t="inlineStr">
        <is>
          <t>M6</t>
        </is>
      </c>
      <c r="D48" s="91" t="inlineStr">
        <is>
          <t>Lote Estándar</t>
        </is>
      </c>
      <c r="E48" s="92" t="n">
        <v>164.39</v>
      </c>
      <c r="F48" s="90" t="inlineStr">
        <is>
          <t>12.55m x 13.24m</t>
        </is>
      </c>
      <c r="G48" s="93">
        <f>E48*120</f>
        <v/>
      </c>
      <c r="H48" s="90" t="n">
        <v>85</v>
      </c>
      <c r="I48" s="90" t="n">
        <v>78</v>
      </c>
      <c r="J48" s="99" t="inlineStr">
        <is>
          <t>Separado</t>
        </is>
      </c>
    </row>
    <row r="49" ht="20" customHeight="1">
      <c r="A49" s="95" t="inlineStr">
        <is>
          <t>L048</t>
        </is>
      </c>
      <c r="B49" s="96" t="inlineStr">
        <is>
          <t>Lote 48</t>
        </is>
      </c>
      <c r="C49" s="95" t="inlineStr">
        <is>
          <t>M6</t>
        </is>
      </c>
      <c r="D49" s="96" t="inlineStr">
        <is>
          <t>Lote Estándar</t>
        </is>
      </c>
      <c r="E49" s="97" t="n">
        <v>164.33</v>
      </c>
      <c r="F49" s="95" t="inlineStr">
        <is>
          <t>12.57m x 13.20m</t>
        </is>
      </c>
      <c r="G49" s="98">
        <f>E49*120</f>
        <v/>
      </c>
      <c r="H49" s="95" t="n">
        <v>85</v>
      </c>
      <c r="I49" s="95" t="n">
        <v>65</v>
      </c>
      <c r="J49" s="99" t="inlineStr">
        <is>
          <t>Disponible</t>
        </is>
      </c>
    </row>
    <row r="50" ht="20" customHeight="1">
      <c r="A50" s="90" t="inlineStr">
        <is>
          <t>L049</t>
        </is>
      </c>
      <c r="B50" s="91" t="inlineStr">
        <is>
          <t>Lote 49</t>
        </is>
      </c>
      <c r="C50" s="90" t="inlineStr">
        <is>
          <t>M6</t>
        </is>
      </c>
      <c r="D50" s="91" t="inlineStr">
        <is>
          <t>Lote Estándar</t>
        </is>
      </c>
      <c r="E50" s="92" t="n">
        <v>164.6</v>
      </c>
      <c r="F50" s="90" t="inlineStr">
        <is>
          <t>12.57m x 13.21m</t>
        </is>
      </c>
      <c r="G50" s="93">
        <f>E50*120</f>
        <v/>
      </c>
      <c r="H50" s="90" t="n">
        <v>85</v>
      </c>
      <c r="I50" s="90" t="n">
        <v>53</v>
      </c>
      <c r="J50" s="99" t="inlineStr">
        <is>
          <t>Disponible</t>
        </is>
      </c>
    </row>
    <row r="51" ht="20" customHeight="1">
      <c r="A51" s="95" t="inlineStr">
        <is>
          <t>L050</t>
        </is>
      </c>
      <c r="B51" s="96" t="inlineStr">
        <is>
          <t>Lote 50</t>
        </is>
      </c>
      <c r="C51" s="95" t="inlineStr">
        <is>
          <t>M6</t>
        </is>
      </c>
      <c r="D51" s="96" t="inlineStr">
        <is>
          <t>Lote Estándar</t>
        </is>
      </c>
      <c r="E51" s="97" t="n">
        <v>165.35</v>
      </c>
      <c r="F51" s="95" t="inlineStr">
        <is>
          <t>12.57m x 13.26m</t>
        </is>
      </c>
      <c r="G51" s="98">
        <f>E51*120</f>
        <v/>
      </c>
      <c r="H51" s="95" t="n">
        <v>86</v>
      </c>
      <c r="I51" s="95" t="n">
        <v>40</v>
      </c>
      <c r="J51" s="99" t="inlineStr">
        <is>
          <t>Disponible</t>
        </is>
      </c>
    </row>
    <row r="52" ht="20" customHeight="1">
      <c r="A52" s="90" t="inlineStr">
        <is>
          <t>L051</t>
        </is>
      </c>
      <c r="B52" s="91" t="inlineStr">
        <is>
          <t>Lote 51</t>
        </is>
      </c>
      <c r="C52" s="90" t="inlineStr">
        <is>
          <t>M6</t>
        </is>
      </c>
      <c r="D52" s="91" t="inlineStr">
        <is>
          <t>Lote Estándar</t>
        </is>
      </c>
      <c r="E52" s="92" t="n">
        <v>166.53</v>
      </c>
      <c r="F52" s="90" t="inlineStr">
        <is>
          <t>12.57m x 13.34m</t>
        </is>
      </c>
      <c r="G52" s="93">
        <f>E52*120</f>
        <v/>
      </c>
      <c r="H52" s="90" t="n">
        <v>87</v>
      </c>
      <c r="I52" s="90" t="n">
        <v>28</v>
      </c>
      <c r="J52" s="99" t="inlineStr">
        <is>
          <t>Disponible</t>
        </is>
      </c>
    </row>
    <row r="53" ht="20" customHeight="1">
      <c r="A53" s="95" t="inlineStr">
        <is>
          <t>L052</t>
        </is>
      </c>
      <c r="B53" s="96" t="inlineStr">
        <is>
          <t>Lote 52</t>
        </is>
      </c>
      <c r="C53" s="95" t="inlineStr">
        <is>
          <t>M6</t>
        </is>
      </c>
      <c r="D53" s="96" t="inlineStr">
        <is>
          <t>Lote Estándar</t>
        </is>
      </c>
      <c r="E53" s="97" t="n">
        <v>168.05</v>
      </c>
      <c r="F53" s="95" t="inlineStr">
        <is>
          <t>12.57m x 13.45m</t>
        </is>
      </c>
      <c r="G53" s="98">
        <f>E53*120</f>
        <v/>
      </c>
      <c r="H53" s="95" t="n">
        <v>88</v>
      </c>
      <c r="I53" s="95" t="n">
        <v>15</v>
      </c>
      <c r="J53" s="99" t="inlineStr">
        <is>
          <t>Disponible</t>
        </is>
      </c>
    </row>
    <row r="54" ht="20" customHeight="1">
      <c r="A54" s="90" t="inlineStr">
        <is>
          <t>L053</t>
        </is>
      </c>
      <c r="B54" s="91" t="inlineStr">
        <is>
          <t>Lote 53</t>
        </is>
      </c>
      <c r="C54" s="90" t="inlineStr">
        <is>
          <t>M7</t>
        </is>
      </c>
      <c r="D54" s="91" t="inlineStr">
        <is>
          <t>Lote Tiny House</t>
        </is>
      </c>
      <c r="E54" s="92" t="n">
        <v>112.49</v>
      </c>
      <c r="F54" s="90" t="inlineStr">
        <is>
          <t>12.16m x 9.38m</t>
        </is>
      </c>
      <c r="G54" s="93">
        <f>E54*120</f>
        <v/>
      </c>
      <c r="H54" s="90" t="n">
        <v>64</v>
      </c>
      <c r="I54" s="90" t="n">
        <v>25</v>
      </c>
      <c r="J54" s="99" t="inlineStr">
        <is>
          <t>Disponible</t>
        </is>
      </c>
    </row>
    <row r="55" ht="20" customHeight="1">
      <c r="A55" s="95" t="inlineStr">
        <is>
          <t>L054</t>
        </is>
      </c>
      <c r="B55" s="96" t="inlineStr">
        <is>
          <t>Lote 54</t>
        </is>
      </c>
      <c r="C55" s="95" t="inlineStr">
        <is>
          <t>M7</t>
        </is>
      </c>
      <c r="D55" s="96" t="inlineStr">
        <is>
          <t>Lote Tiny House</t>
        </is>
      </c>
      <c r="E55" s="97" t="n">
        <v>112.2</v>
      </c>
      <c r="F55" s="95" t="inlineStr">
        <is>
          <t>12.16m x 9.34m</t>
        </is>
      </c>
      <c r="G55" s="98">
        <f>E55*120</f>
        <v/>
      </c>
      <c r="H55" s="95" t="n">
        <v>64</v>
      </c>
      <c r="I55" s="95" t="n">
        <v>32</v>
      </c>
      <c r="J55" s="99" t="inlineStr">
        <is>
          <t>Disponible</t>
        </is>
      </c>
    </row>
    <row r="56" ht="20" customHeight="1">
      <c r="A56" s="90" t="inlineStr">
        <is>
          <t>L055</t>
        </is>
      </c>
      <c r="B56" s="91" t="inlineStr">
        <is>
          <t>Lote 55</t>
        </is>
      </c>
      <c r="C56" s="90" t="inlineStr">
        <is>
          <t>M7</t>
        </is>
      </c>
      <c r="D56" s="91" t="inlineStr">
        <is>
          <t>Lote Tiny House</t>
        </is>
      </c>
      <c r="E56" s="92" t="n">
        <v>112.21</v>
      </c>
      <c r="F56" s="90" t="inlineStr">
        <is>
          <t>12.16m x 9.32m</t>
        </is>
      </c>
      <c r="G56" s="93">
        <f>E56*120</f>
        <v/>
      </c>
      <c r="H56" s="90" t="n">
        <v>64</v>
      </c>
      <c r="I56" s="90" t="n">
        <v>42</v>
      </c>
      <c r="J56" s="99" t="inlineStr">
        <is>
          <t>Separado</t>
        </is>
      </c>
    </row>
    <row r="57" ht="20" customHeight="1">
      <c r="A57" s="95" t="inlineStr">
        <is>
          <t>L056</t>
        </is>
      </c>
      <c r="B57" s="96" t="inlineStr">
        <is>
          <t>Lote 56</t>
        </is>
      </c>
      <c r="C57" s="95" t="inlineStr">
        <is>
          <t>M7</t>
        </is>
      </c>
      <c r="D57" s="96" t="inlineStr">
        <is>
          <t>Lote Tiny House</t>
        </is>
      </c>
      <c r="E57" s="97" t="n">
        <v>112.75</v>
      </c>
      <c r="F57" s="95" t="inlineStr">
        <is>
          <t>12.19m x 9.33m</t>
        </is>
      </c>
      <c r="G57" s="98">
        <f>E57*120</f>
        <v/>
      </c>
      <c r="H57" s="95" t="n">
        <v>64</v>
      </c>
      <c r="I57" s="95" t="n">
        <v>53</v>
      </c>
      <c r="J57" s="99" t="inlineStr">
        <is>
          <t>Disponible</t>
        </is>
      </c>
    </row>
    <row r="58" ht="20" customHeight="1">
      <c r="A58" s="90" t="inlineStr">
        <is>
          <t>L057</t>
        </is>
      </c>
      <c r="B58" s="91" t="inlineStr">
        <is>
          <t>Lote 57</t>
        </is>
      </c>
      <c r="C58" s="90" t="inlineStr">
        <is>
          <t>M7</t>
        </is>
      </c>
      <c r="D58" s="91" t="inlineStr">
        <is>
          <t>Lote Tiny House</t>
        </is>
      </c>
      <c r="E58" s="92" t="n">
        <v>113.37</v>
      </c>
      <c r="F58" s="90" t="inlineStr">
        <is>
          <t>12.19m x 9.37m</t>
        </is>
      </c>
      <c r="G58" s="93">
        <f>E58*120</f>
        <v/>
      </c>
      <c r="H58" s="90" t="n">
        <v>65</v>
      </c>
      <c r="I58" s="90" t="n">
        <v>64</v>
      </c>
      <c r="J58" s="99" t="inlineStr">
        <is>
          <t>Disponible</t>
        </is>
      </c>
    </row>
    <row r="59" ht="20" customHeight="1">
      <c r="A59" s="95" t="inlineStr">
        <is>
          <t>L058</t>
        </is>
      </c>
      <c r="B59" s="96" t="inlineStr">
        <is>
          <t>Lote 58</t>
        </is>
      </c>
      <c r="C59" s="95" t="inlineStr">
        <is>
          <t>M7</t>
        </is>
      </c>
      <c r="D59" s="96" t="inlineStr">
        <is>
          <t>Lote Tiny House</t>
        </is>
      </c>
      <c r="E59" s="97" t="n">
        <v>114.24</v>
      </c>
      <c r="F59" s="95" t="inlineStr">
        <is>
          <t>12.19m x 9.43m</t>
        </is>
      </c>
      <c r="G59" s="98">
        <f>E59*120</f>
        <v/>
      </c>
      <c r="H59" s="95" t="n">
        <v>65</v>
      </c>
      <c r="I59" s="95" t="n">
        <v>76</v>
      </c>
      <c r="J59" s="99" t="inlineStr">
        <is>
          <t>Disponible</t>
        </is>
      </c>
    </row>
    <row r="60" ht="20" customHeight="1">
      <c r="A60" s="90" t="inlineStr">
        <is>
          <t>L059</t>
        </is>
      </c>
      <c r="B60" s="91" t="inlineStr">
        <is>
          <t>Lote 59</t>
        </is>
      </c>
      <c r="C60" s="90" t="inlineStr">
        <is>
          <t>M7</t>
        </is>
      </c>
      <c r="D60" s="91" t="inlineStr">
        <is>
          <t>Lote Tiny House</t>
        </is>
      </c>
      <c r="E60" s="92" t="n">
        <v>115.32</v>
      </c>
      <c r="F60" s="90" t="inlineStr">
        <is>
          <t>12.19m x 9.51m</t>
        </is>
      </c>
      <c r="G60" s="93">
        <f>E60*120</f>
        <v/>
      </c>
      <c r="H60" s="90" t="n">
        <v>66</v>
      </c>
      <c r="I60" s="90" t="n">
        <v>88</v>
      </c>
      <c r="J60" s="99" t="inlineStr">
        <is>
          <t>Disponible</t>
        </is>
      </c>
    </row>
    <row r="61" ht="20" customHeight="1">
      <c r="A61" s="95" t="inlineStr">
        <is>
          <t>L060</t>
        </is>
      </c>
      <c r="B61" s="96" t="inlineStr">
        <is>
          <t>Lote 60</t>
        </is>
      </c>
      <c r="C61" s="95" t="inlineStr">
        <is>
          <t>M7</t>
        </is>
      </c>
      <c r="D61" s="96" t="inlineStr">
        <is>
          <t>Lote Tiny House</t>
        </is>
      </c>
      <c r="E61" s="97" t="n">
        <v>112.43</v>
      </c>
      <c r="F61" s="95" t="inlineStr">
        <is>
          <t>12.17m x 9.38m</t>
        </is>
      </c>
      <c r="G61" s="98">
        <f>E61*60</f>
        <v/>
      </c>
      <c r="H61" s="95" t="n">
        <v>55</v>
      </c>
      <c r="I61" s="95" t="n">
        <v>25</v>
      </c>
      <c r="J61" s="94" t="inlineStr">
        <is>
          <t>En Oferta</t>
        </is>
      </c>
    </row>
    <row r="62" ht="20" customHeight="1">
      <c r="A62" s="90" t="inlineStr">
        <is>
          <t>L061</t>
        </is>
      </c>
      <c r="B62" s="91" t="inlineStr">
        <is>
          <t>Lote 61</t>
        </is>
      </c>
      <c r="C62" s="90" t="inlineStr">
        <is>
          <t>M7</t>
        </is>
      </c>
      <c r="D62" s="91" t="inlineStr">
        <is>
          <t>Lote Tiny House</t>
        </is>
      </c>
      <c r="E62" s="92" t="n">
        <v>112.18</v>
      </c>
      <c r="F62" s="90" t="inlineStr">
        <is>
          <t>12.17m x 9.34m</t>
        </is>
      </c>
      <c r="G62" s="93">
        <f>E62*120</f>
        <v/>
      </c>
      <c r="H62" s="90" t="n">
        <v>54</v>
      </c>
      <c r="I62" s="90" t="n">
        <v>37</v>
      </c>
      <c r="J62" s="99" t="inlineStr">
        <is>
          <t>Separado</t>
        </is>
      </c>
    </row>
    <row r="63" ht="20" customHeight="1">
      <c r="A63" s="95" t="inlineStr">
        <is>
          <t>L062</t>
        </is>
      </c>
      <c r="B63" s="96" t="inlineStr">
        <is>
          <t>Lote 62</t>
        </is>
      </c>
      <c r="C63" s="95" t="inlineStr">
        <is>
          <t>M7</t>
        </is>
      </c>
      <c r="D63" s="96" t="inlineStr">
        <is>
          <t>Lote Tiny House</t>
        </is>
      </c>
      <c r="E63" s="97" t="n">
        <v>112.22</v>
      </c>
      <c r="F63" s="95" t="inlineStr">
        <is>
          <t>12.17m x 9.32m</t>
        </is>
      </c>
      <c r="G63" s="98">
        <f>E63*60</f>
        <v/>
      </c>
      <c r="H63" s="95" t="n">
        <v>54</v>
      </c>
      <c r="I63" s="95" t="n">
        <v>46</v>
      </c>
      <c r="J63" s="94" t="inlineStr">
        <is>
          <t>En Oferta</t>
        </is>
      </c>
    </row>
    <row r="64" ht="20" customHeight="1">
      <c r="A64" s="90" t="inlineStr">
        <is>
          <t>L063</t>
        </is>
      </c>
      <c r="B64" s="91" t="inlineStr">
        <is>
          <t>Lote 63</t>
        </is>
      </c>
      <c r="C64" s="90" t="inlineStr">
        <is>
          <t>M7</t>
        </is>
      </c>
      <c r="D64" s="91" t="inlineStr">
        <is>
          <t>Lote Tiny House</t>
        </is>
      </c>
      <c r="E64" s="92" t="n">
        <v>112.79</v>
      </c>
      <c r="F64" s="90" t="inlineStr">
        <is>
          <t>12.19m x 9.33m</t>
        </is>
      </c>
      <c r="G64" s="93">
        <f>E64*120</f>
        <v/>
      </c>
      <c r="H64" s="90" t="n">
        <v>55</v>
      </c>
      <c r="I64" s="90" t="n">
        <v>56</v>
      </c>
      <c r="J64" s="99" t="inlineStr">
        <is>
          <t>Disponible</t>
        </is>
      </c>
    </row>
    <row r="65" ht="20" customHeight="1">
      <c r="A65" s="95" t="inlineStr">
        <is>
          <t>L064</t>
        </is>
      </c>
      <c r="B65" s="96" t="inlineStr">
        <is>
          <t>Lote 64</t>
        </is>
      </c>
      <c r="C65" s="95" t="inlineStr">
        <is>
          <t>M7</t>
        </is>
      </c>
      <c r="D65" s="96" t="inlineStr">
        <is>
          <t>Lote Tiny House</t>
        </is>
      </c>
      <c r="E65" s="97" t="n">
        <v>113.43</v>
      </c>
      <c r="F65" s="95" t="inlineStr">
        <is>
          <t>12.19m x 9.37m</t>
        </is>
      </c>
      <c r="G65" s="98">
        <f>E65*60</f>
        <v/>
      </c>
      <c r="H65" s="95" t="n">
        <v>55</v>
      </c>
      <c r="I65" s="95" t="n">
        <v>67</v>
      </c>
      <c r="J65" s="94" t="inlineStr">
        <is>
          <t>En Oferta</t>
        </is>
      </c>
    </row>
    <row r="66" ht="20" customHeight="1">
      <c r="A66" s="90" t="inlineStr">
        <is>
          <t>L065</t>
        </is>
      </c>
      <c r="B66" s="91" t="inlineStr">
        <is>
          <t>Lote 65</t>
        </is>
      </c>
      <c r="C66" s="90" t="inlineStr">
        <is>
          <t>M7</t>
        </is>
      </c>
      <c r="D66" s="91" t="inlineStr">
        <is>
          <t>Lote Tiny House</t>
        </is>
      </c>
      <c r="E66" s="92" t="n">
        <v>114.33</v>
      </c>
      <c r="F66" s="90" t="inlineStr">
        <is>
          <t>12.19m x 9.43m</t>
        </is>
      </c>
      <c r="G66" s="93">
        <f>E66*60</f>
        <v/>
      </c>
      <c r="H66" s="90" t="n">
        <v>56</v>
      </c>
      <c r="I66" s="90" t="n">
        <v>78</v>
      </c>
      <c r="J66" s="94" t="inlineStr">
        <is>
          <t>En Oferta</t>
        </is>
      </c>
    </row>
    <row r="67" ht="20" customHeight="1">
      <c r="A67" s="95" t="inlineStr">
        <is>
          <t>L066</t>
        </is>
      </c>
      <c r="B67" s="96" t="inlineStr">
        <is>
          <t>Lote 66</t>
        </is>
      </c>
      <c r="C67" s="95" t="inlineStr">
        <is>
          <t>M7</t>
        </is>
      </c>
      <c r="D67" s="96" t="inlineStr">
        <is>
          <t>Lote Tiny House</t>
        </is>
      </c>
      <c r="E67" s="97" t="n">
        <v>115.41</v>
      </c>
      <c r="F67" s="95" t="inlineStr">
        <is>
          <t>12.19m x 9.51m</t>
        </is>
      </c>
      <c r="G67" s="98">
        <f>E67*120</f>
        <v/>
      </c>
      <c r="H67" s="95" t="n">
        <v>57</v>
      </c>
      <c r="I67" s="95" t="n">
        <v>90</v>
      </c>
      <c r="J67" s="99" t="inlineStr">
        <is>
          <t>Disponible</t>
        </is>
      </c>
    </row>
    <row r="68" ht="20" customHeight="1">
      <c r="A68" s="90" t="inlineStr">
        <is>
          <t>L067</t>
        </is>
      </c>
      <c r="B68" s="91" t="inlineStr">
        <is>
          <t>Lote 67</t>
        </is>
      </c>
      <c r="C68" s="90" t="inlineStr">
        <is>
          <t>M8</t>
        </is>
      </c>
      <c r="D68" s="91" t="inlineStr">
        <is>
          <t>Lote Tiny House</t>
        </is>
      </c>
      <c r="E68" s="92" t="n">
        <v>115.71</v>
      </c>
      <c r="F68" s="90" t="inlineStr">
        <is>
          <t>12.07m x 9.63m</t>
        </is>
      </c>
      <c r="G68" s="93">
        <f>E68*120</f>
        <v/>
      </c>
      <c r="H68" s="90" t="n">
        <v>68</v>
      </c>
      <c r="I68" s="90" t="n">
        <v>105</v>
      </c>
      <c r="J68" s="99" t="inlineStr">
        <is>
          <t>Disponible</t>
        </is>
      </c>
    </row>
    <row r="69" ht="20" customHeight="1">
      <c r="A69" s="95" t="inlineStr">
        <is>
          <t>L068</t>
        </is>
      </c>
      <c r="B69" s="96" t="inlineStr">
        <is>
          <t>Lote 68</t>
        </is>
      </c>
      <c r="C69" s="95" t="inlineStr">
        <is>
          <t>M8</t>
        </is>
      </c>
      <c r="D69" s="96" t="inlineStr">
        <is>
          <t>Lote Tiny House</t>
        </is>
      </c>
      <c r="E69" s="97" t="n">
        <v>115.75</v>
      </c>
      <c r="F69" s="95" t="inlineStr">
        <is>
          <t>12.08m x 9.67m</t>
        </is>
      </c>
      <c r="G69" s="98">
        <f>E69*120</f>
        <v/>
      </c>
      <c r="H69" s="95" t="n">
        <v>68</v>
      </c>
      <c r="I69" s="95" t="n">
        <v>117</v>
      </c>
      <c r="J69" s="99" t="inlineStr">
        <is>
          <t>Disponible</t>
        </is>
      </c>
    </row>
    <row r="70" ht="20" customHeight="1">
      <c r="A70" s="90" t="inlineStr">
        <is>
          <t>L069</t>
        </is>
      </c>
      <c r="B70" s="91" t="inlineStr">
        <is>
          <t>Lote 69</t>
        </is>
      </c>
      <c r="C70" s="90" t="inlineStr">
        <is>
          <t>M8</t>
        </is>
      </c>
      <c r="D70" s="91" t="inlineStr">
        <is>
          <t>Lote Tiny House</t>
        </is>
      </c>
      <c r="E70" s="92" t="n">
        <v>115.91</v>
      </c>
      <c r="F70" s="90" t="inlineStr">
        <is>
          <t>12.08m x 9.68m</t>
        </is>
      </c>
      <c r="G70" s="93">
        <f>E70*120</f>
        <v/>
      </c>
      <c r="H70" s="90" t="n">
        <v>68</v>
      </c>
      <c r="I70" s="90" t="n">
        <v>129</v>
      </c>
      <c r="J70" s="99" t="inlineStr">
        <is>
          <t>Disponible</t>
        </is>
      </c>
    </row>
    <row r="71" ht="20" customHeight="1">
      <c r="A71" s="95" t="inlineStr">
        <is>
          <t>L070</t>
        </is>
      </c>
      <c r="B71" s="96" t="inlineStr">
        <is>
          <t>Lote 70</t>
        </is>
      </c>
      <c r="C71" s="95" t="inlineStr">
        <is>
          <t>M8</t>
        </is>
      </c>
      <c r="D71" s="96" t="inlineStr">
        <is>
          <t>Lote Tiny House</t>
        </is>
      </c>
      <c r="E71" s="97" t="n">
        <v>116.06</v>
      </c>
      <c r="F71" s="95" t="inlineStr">
        <is>
          <t>12.08m x 9.70m</t>
        </is>
      </c>
      <c r="G71" s="98">
        <f>E71*120</f>
        <v/>
      </c>
      <c r="H71" s="95" t="n">
        <v>68</v>
      </c>
      <c r="I71" s="95" t="n">
        <v>141</v>
      </c>
      <c r="J71" s="99" t="inlineStr">
        <is>
          <t>Disponible</t>
        </is>
      </c>
    </row>
    <row r="72" ht="20" customHeight="1">
      <c r="A72" s="90" t="inlineStr">
        <is>
          <t>L071</t>
        </is>
      </c>
      <c r="B72" s="91" t="inlineStr">
        <is>
          <t>Lote 71</t>
        </is>
      </c>
      <c r="C72" s="90" t="inlineStr">
        <is>
          <t>M8</t>
        </is>
      </c>
      <c r="D72" s="91" t="inlineStr">
        <is>
          <t>Lote Tiny House</t>
        </is>
      </c>
      <c r="E72" s="92" t="n">
        <v>116.22</v>
      </c>
      <c r="F72" s="90" t="inlineStr">
        <is>
          <t>12.08m x 9.71m</t>
        </is>
      </c>
      <c r="G72" s="93">
        <f>E72*120</f>
        <v/>
      </c>
      <c r="H72" s="90" t="n">
        <v>68</v>
      </c>
      <c r="I72" s="90" t="n">
        <v>145</v>
      </c>
      <c r="J72" s="99" t="inlineStr">
        <is>
          <t>Disponible</t>
        </is>
      </c>
    </row>
    <row r="73" ht="20" customHeight="1">
      <c r="A73" s="95" t="inlineStr">
        <is>
          <t>L072</t>
        </is>
      </c>
      <c r="B73" s="96" t="inlineStr">
        <is>
          <t>Lote 72</t>
        </is>
      </c>
      <c r="C73" s="95" t="inlineStr">
        <is>
          <t>M8</t>
        </is>
      </c>
      <c r="D73" s="96" t="inlineStr">
        <is>
          <t>Lote Tiny House</t>
        </is>
      </c>
      <c r="E73" s="97" t="n">
        <v>116.38</v>
      </c>
      <c r="F73" s="95" t="inlineStr">
        <is>
          <t>12.08m x 9.72m</t>
        </is>
      </c>
      <c r="G73" s="98">
        <f>E73*60</f>
        <v/>
      </c>
      <c r="H73" s="95" t="n">
        <v>68</v>
      </c>
      <c r="I73" s="95" t="n">
        <v>145</v>
      </c>
      <c r="J73" s="94" t="inlineStr">
        <is>
          <t>En Oferta</t>
        </is>
      </c>
    </row>
    <row r="74" ht="20" customHeight="1">
      <c r="A74" s="90" t="inlineStr">
        <is>
          <t>L073</t>
        </is>
      </c>
      <c r="B74" s="91" t="inlineStr">
        <is>
          <t>Lote 73</t>
        </is>
      </c>
      <c r="C74" s="90" t="inlineStr">
        <is>
          <t>M8</t>
        </is>
      </c>
      <c r="D74" s="91" t="inlineStr">
        <is>
          <t>Lote Tiny House</t>
        </is>
      </c>
      <c r="E74" s="92" t="n">
        <v>116.54</v>
      </c>
      <c r="F74" s="90" t="inlineStr">
        <is>
          <t>12.08m x 9.74m</t>
        </is>
      </c>
      <c r="G74" s="93">
        <f>E74*120</f>
        <v/>
      </c>
      <c r="H74" s="90" t="n">
        <v>68</v>
      </c>
      <c r="I74" s="90" t="n">
        <v>145</v>
      </c>
      <c r="J74" s="99" t="inlineStr">
        <is>
          <t>Disponible</t>
        </is>
      </c>
    </row>
    <row r="75" ht="20" customHeight="1">
      <c r="A75" s="95" t="inlineStr">
        <is>
          <t>L074</t>
        </is>
      </c>
      <c r="B75" s="96" t="inlineStr">
        <is>
          <t>Lote 74</t>
        </is>
      </c>
      <c r="C75" s="95" t="inlineStr">
        <is>
          <t>M8</t>
        </is>
      </c>
      <c r="D75" s="96" t="inlineStr">
        <is>
          <t>Lote Tiny House</t>
        </is>
      </c>
      <c r="E75" s="97" t="n">
        <v>116.69</v>
      </c>
      <c r="F75" s="95" t="inlineStr">
        <is>
          <t>12.08m x 9.75m</t>
        </is>
      </c>
      <c r="G75" s="98">
        <f>E75*120</f>
        <v/>
      </c>
      <c r="H75" s="95" t="n">
        <v>68</v>
      </c>
      <c r="I75" s="95" t="n">
        <v>145</v>
      </c>
      <c r="J75" s="99" t="inlineStr">
        <is>
          <t>Disponible</t>
        </is>
      </c>
    </row>
    <row r="76" ht="20" customHeight="1">
      <c r="A76" s="90" t="inlineStr">
        <is>
          <t>L075</t>
        </is>
      </c>
      <c r="B76" s="91" t="inlineStr">
        <is>
          <t>Lote 75</t>
        </is>
      </c>
      <c r="C76" s="90" t="inlineStr">
        <is>
          <t>M8</t>
        </is>
      </c>
      <c r="D76" s="91" t="inlineStr">
        <is>
          <t>Lote Tiny House</t>
        </is>
      </c>
      <c r="E76" s="92" t="n">
        <v>116.85</v>
      </c>
      <c r="F76" s="90" t="inlineStr">
        <is>
          <t>12.08m x 9.76m</t>
        </is>
      </c>
      <c r="G76" s="93">
        <f>E76*120</f>
        <v/>
      </c>
      <c r="H76" s="90" t="n">
        <v>68</v>
      </c>
      <c r="I76" s="90" t="n">
        <v>145</v>
      </c>
      <c r="J76" s="99" t="inlineStr">
        <is>
          <t>Disponible</t>
        </is>
      </c>
    </row>
    <row r="77" ht="20" customHeight="1">
      <c r="A77" s="95" t="inlineStr">
        <is>
          <t>L076</t>
        </is>
      </c>
      <c r="B77" s="96" t="inlineStr">
        <is>
          <t>Lote 76</t>
        </is>
      </c>
      <c r="C77" s="95" t="inlineStr">
        <is>
          <t>M8</t>
        </is>
      </c>
      <c r="D77" s="96" t="inlineStr">
        <is>
          <t>Lote Tiny House</t>
        </is>
      </c>
      <c r="E77" s="97" t="n">
        <v>117.01</v>
      </c>
      <c r="F77" s="95" t="inlineStr">
        <is>
          <t>12.08m x 9.77m</t>
        </is>
      </c>
      <c r="G77" s="98">
        <f>E77*120</f>
        <v/>
      </c>
      <c r="H77" s="95" t="n">
        <v>68</v>
      </c>
      <c r="I77" s="95" t="n">
        <v>133</v>
      </c>
      <c r="J77" s="99" t="inlineStr">
        <is>
          <t>Disponible</t>
        </is>
      </c>
    </row>
    <row r="78" ht="20" customHeight="1">
      <c r="A78" s="90" t="inlineStr">
        <is>
          <t>L077</t>
        </is>
      </c>
      <c r="B78" s="91" t="inlineStr">
        <is>
          <t>Lote 77</t>
        </is>
      </c>
      <c r="C78" s="90" t="inlineStr">
        <is>
          <t>M8</t>
        </is>
      </c>
      <c r="D78" s="91" t="inlineStr">
        <is>
          <t>Lote Tiny House</t>
        </is>
      </c>
      <c r="E78" s="92" t="n">
        <v>115.79</v>
      </c>
      <c r="F78" s="90" t="inlineStr">
        <is>
          <t>12.07m x 9.63m</t>
        </is>
      </c>
      <c r="G78" s="93">
        <f>E78*60</f>
        <v/>
      </c>
      <c r="H78" s="90" t="n">
        <v>58</v>
      </c>
      <c r="I78" s="90" t="n">
        <v>106</v>
      </c>
      <c r="J78" s="94" t="inlineStr">
        <is>
          <t>En Oferta</t>
        </is>
      </c>
    </row>
    <row r="79" ht="20" customHeight="1">
      <c r="A79" s="95" t="inlineStr">
        <is>
          <t>L078</t>
        </is>
      </c>
      <c r="B79" s="96" t="inlineStr">
        <is>
          <t>Lote 78</t>
        </is>
      </c>
      <c r="C79" s="95" t="inlineStr">
        <is>
          <t>M8</t>
        </is>
      </c>
      <c r="D79" s="96" t="inlineStr">
        <is>
          <t>Lote Tiny House</t>
        </is>
      </c>
      <c r="E79" s="97" t="n">
        <v>115.78</v>
      </c>
      <c r="F79" s="95" t="inlineStr">
        <is>
          <t>12.08m x 9.67m</t>
        </is>
      </c>
      <c r="G79" s="98">
        <f>E79*120</f>
        <v/>
      </c>
      <c r="H79" s="95" t="n">
        <v>58</v>
      </c>
      <c r="I79" s="95" t="n">
        <v>118</v>
      </c>
      <c r="J79" s="99" t="inlineStr">
        <is>
          <t>Disponible</t>
        </is>
      </c>
    </row>
    <row r="80" ht="20" customHeight="1">
      <c r="A80" s="90" t="inlineStr">
        <is>
          <t>L079</t>
        </is>
      </c>
      <c r="B80" s="91" t="inlineStr">
        <is>
          <t>Lote 79</t>
        </is>
      </c>
      <c r="C80" s="90" t="inlineStr">
        <is>
          <t>M8</t>
        </is>
      </c>
      <c r="D80" s="91" t="inlineStr">
        <is>
          <t>Lote Tiny House</t>
        </is>
      </c>
      <c r="E80" s="92" t="n">
        <v>115.94</v>
      </c>
      <c r="F80" s="90" t="inlineStr">
        <is>
          <t>12.08m x 9.68m</t>
        </is>
      </c>
      <c r="G80" s="93">
        <f>E80*120</f>
        <v/>
      </c>
      <c r="H80" s="90" t="n">
        <v>58</v>
      </c>
      <c r="I80" s="90" t="n">
        <v>129</v>
      </c>
      <c r="J80" s="99" t="inlineStr">
        <is>
          <t>Disponible</t>
        </is>
      </c>
    </row>
    <row r="81" ht="20" customHeight="1">
      <c r="A81" s="95" t="inlineStr">
        <is>
          <t>L080</t>
        </is>
      </c>
      <c r="B81" s="96" t="inlineStr">
        <is>
          <t>Lote 80</t>
        </is>
      </c>
      <c r="C81" s="95" t="inlineStr">
        <is>
          <t>M8</t>
        </is>
      </c>
      <c r="D81" s="96" t="inlineStr">
        <is>
          <t>Lote Tiny House</t>
        </is>
      </c>
      <c r="E81" s="97" t="n">
        <v>116.09</v>
      </c>
      <c r="F81" s="95" t="inlineStr">
        <is>
          <t>12.08m x 9.70m</t>
        </is>
      </c>
      <c r="G81" s="98">
        <f>E81*60</f>
        <v/>
      </c>
      <c r="H81" s="95" t="n">
        <v>58</v>
      </c>
      <c r="I81" s="95" t="n">
        <v>141</v>
      </c>
      <c r="J81" s="94" t="inlineStr">
        <is>
          <t>En Oferta</t>
        </is>
      </c>
    </row>
    <row r="82" ht="20" customHeight="1">
      <c r="A82" s="90" t="inlineStr">
        <is>
          <t>L081</t>
        </is>
      </c>
      <c r="B82" s="91" t="inlineStr">
        <is>
          <t>Lote 81</t>
        </is>
      </c>
      <c r="C82" s="90" t="inlineStr">
        <is>
          <t>M8</t>
        </is>
      </c>
      <c r="D82" s="91" t="inlineStr">
        <is>
          <t>Lote Tiny House</t>
        </is>
      </c>
      <c r="E82" s="92" t="n">
        <v>116.25</v>
      </c>
      <c r="F82" s="90" t="inlineStr">
        <is>
          <t>12.08m x 9.71m</t>
        </is>
      </c>
      <c r="G82" s="93">
        <f>E82*120</f>
        <v/>
      </c>
      <c r="H82" s="90" t="n">
        <v>58</v>
      </c>
      <c r="I82" s="90" t="n">
        <v>145</v>
      </c>
      <c r="J82" s="99" t="inlineStr">
        <is>
          <t>Separado</t>
        </is>
      </c>
    </row>
    <row r="83" ht="20" customHeight="1">
      <c r="A83" s="95" t="inlineStr">
        <is>
          <t>L082</t>
        </is>
      </c>
      <c r="B83" s="96" t="inlineStr">
        <is>
          <t>Lote 82</t>
        </is>
      </c>
      <c r="C83" s="95" t="inlineStr">
        <is>
          <t>M8</t>
        </is>
      </c>
      <c r="D83" s="96" t="inlineStr">
        <is>
          <t>Lote Tiny House</t>
        </is>
      </c>
      <c r="E83" s="97" t="n">
        <v>116.41</v>
      </c>
      <c r="F83" s="95" t="inlineStr">
        <is>
          <t>12.08m x 9.72m</t>
        </is>
      </c>
      <c r="G83" s="98">
        <f>E83*60</f>
        <v/>
      </c>
      <c r="H83" s="95" t="n">
        <v>58</v>
      </c>
      <c r="I83" s="95" t="n">
        <v>145</v>
      </c>
      <c r="J83" s="94" t="inlineStr">
        <is>
          <t>En Oferta</t>
        </is>
      </c>
    </row>
    <row r="84" ht="20" customHeight="1">
      <c r="A84" s="90" t="inlineStr">
        <is>
          <t>L083</t>
        </is>
      </c>
      <c r="B84" s="91" t="inlineStr">
        <is>
          <t>Lote 83</t>
        </is>
      </c>
      <c r="C84" s="90" t="inlineStr">
        <is>
          <t>M8</t>
        </is>
      </c>
      <c r="D84" s="91" t="inlineStr">
        <is>
          <t>Lote Tiny House</t>
        </is>
      </c>
      <c r="E84" s="92" t="n">
        <v>116.57</v>
      </c>
      <c r="F84" s="90" t="inlineStr">
        <is>
          <t>12.08m x 9.74m</t>
        </is>
      </c>
      <c r="G84" s="93">
        <f>E84*120</f>
        <v/>
      </c>
      <c r="H84" s="90" t="n">
        <v>58</v>
      </c>
      <c r="I84" s="90" t="n">
        <v>145</v>
      </c>
      <c r="J84" s="94" t="inlineStr">
        <is>
          <t>Disponible</t>
        </is>
      </c>
    </row>
    <row r="85" ht="20" customHeight="1">
      <c r="A85" s="95" t="inlineStr">
        <is>
          <t>L084</t>
        </is>
      </c>
      <c r="B85" s="96" t="inlineStr">
        <is>
          <t>Lote 84</t>
        </is>
      </c>
      <c r="C85" s="95" t="inlineStr">
        <is>
          <t>M8</t>
        </is>
      </c>
      <c r="D85" s="96" t="inlineStr">
        <is>
          <t>Lote Tiny House</t>
        </is>
      </c>
      <c r="E85" s="97" t="n">
        <v>116.72</v>
      </c>
      <c r="F85" s="95" t="inlineStr">
        <is>
          <t>12.08m x 9.75m</t>
        </is>
      </c>
      <c r="G85" s="98">
        <f>E85*120</f>
        <v/>
      </c>
      <c r="H85" s="95" t="n">
        <v>59</v>
      </c>
      <c r="I85" s="95" t="n">
        <v>145</v>
      </c>
      <c r="J85" s="99" t="inlineStr">
        <is>
          <t>Disponible</t>
        </is>
      </c>
    </row>
    <row r="86" ht="20" customHeight="1">
      <c r="A86" s="90" t="inlineStr">
        <is>
          <t>L085</t>
        </is>
      </c>
      <c r="B86" s="91" t="inlineStr">
        <is>
          <t>Lote 85</t>
        </is>
      </c>
      <c r="C86" s="90" t="inlineStr">
        <is>
          <t>M8</t>
        </is>
      </c>
      <c r="D86" s="91" t="inlineStr">
        <is>
          <t>Lote Tiny House</t>
        </is>
      </c>
      <c r="E86" s="92" t="n">
        <v>116.88</v>
      </c>
      <c r="F86" s="90" t="inlineStr">
        <is>
          <t>12.08m x 9.76m</t>
        </is>
      </c>
      <c r="G86" s="93">
        <f>E86*120</f>
        <v/>
      </c>
      <c r="H86" s="90" t="n">
        <v>59</v>
      </c>
      <c r="I86" s="90" t="n">
        <v>145</v>
      </c>
      <c r="J86" s="99" t="inlineStr">
        <is>
          <t>Disponible</t>
        </is>
      </c>
    </row>
    <row r="87" ht="20" customHeight="1">
      <c r="A87" s="95" t="inlineStr">
        <is>
          <t>L086</t>
        </is>
      </c>
      <c r="B87" s="96" t="inlineStr">
        <is>
          <t>Lote 86</t>
        </is>
      </c>
      <c r="C87" s="95" t="inlineStr">
        <is>
          <t>M8</t>
        </is>
      </c>
      <c r="D87" s="96" t="inlineStr">
        <is>
          <t>Lote Tiny House</t>
        </is>
      </c>
      <c r="E87" s="97" t="n">
        <v>117.03</v>
      </c>
      <c r="F87" s="95" t="inlineStr">
        <is>
          <t>12.08m x 9.77m</t>
        </is>
      </c>
      <c r="G87" s="98">
        <f>E87*120</f>
        <v/>
      </c>
      <c r="H87" s="95" t="n">
        <v>59</v>
      </c>
      <c r="I87" s="95" t="n">
        <v>133</v>
      </c>
      <c r="J87" s="99" t="inlineStr">
        <is>
          <t>Disponible</t>
        </is>
      </c>
    </row>
    <row r="88" ht="20" customHeight="1">
      <c r="A88" s="90" t="inlineStr">
        <is>
          <t>L087</t>
        </is>
      </c>
      <c r="B88" s="91" t="inlineStr">
        <is>
          <t>Lote 87</t>
        </is>
      </c>
      <c r="C88" s="90" t="inlineStr">
        <is>
          <t>M9</t>
        </is>
      </c>
      <c r="D88" s="91" t="inlineStr">
        <is>
          <t>Lote Tiny House</t>
        </is>
      </c>
      <c r="E88" s="92" t="n">
        <v>121.33</v>
      </c>
      <c r="F88" s="90" t="inlineStr">
        <is>
          <t>12.56m x 9.76m</t>
        </is>
      </c>
      <c r="G88" s="93">
        <f>E88*120</f>
        <v/>
      </c>
      <c r="H88" s="90" t="n">
        <v>67</v>
      </c>
      <c r="I88" s="90" t="n">
        <v>116</v>
      </c>
      <c r="J88" s="99" t="inlineStr">
        <is>
          <t>Disponible</t>
        </is>
      </c>
    </row>
    <row r="89" ht="20" customHeight="1">
      <c r="A89" s="95" t="inlineStr">
        <is>
          <t>L088</t>
        </is>
      </c>
      <c r="B89" s="96" t="inlineStr">
        <is>
          <t>Lote 88</t>
        </is>
      </c>
      <c r="C89" s="95" t="inlineStr">
        <is>
          <t>M9</t>
        </is>
      </c>
      <c r="D89" s="96" t="inlineStr">
        <is>
          <t>Lote Tiny House</t>
        </is>
      </c>
      <c r="E89" s="97" t="n">
        <v>120.26</v>
      </c>
      <c r="F89" s="95" t="inlineStr">
        <is>
          <t>12.56m x 9.71m</t>
        </is>
      </c>
      <c r="G89" s="98">
        <f>E89*120</f>
        <v/>
      </c>
      <c r="H89" s="95" t="n">
        <v>66</v>
      </c>
      <c r="I89" s="95" t="n">
        <v>103</v>
      </c>
      <c r="J89" s="101" t="inlineStr">
        <is>
          <t>Disponible</t>
        </is>
      </c>
    </row>
    <row r="90" ht="20" customHeight="1">
      <c r="A90" s="90" t="inlineStr">
        <is>
          <t>L089</t>
        </is>
      </c>
      <c r="B90" s="91" t="inlineStr">
        <is>
          <t>Lote 89</t>
        </is>
      </c>
      <c r="C90" s="90" t="inlineStr">
        <is>
          <t>M9</t>
        </is>
      </c>
      <c r="D90" s="91" t="inlineStr">
        <is>
          <t>Lote Tiny House</t>
        </is>
      </c>
      <c r="E90" s="92" t="n">
        <v>119.58</v>
      </c>
      <c r="F90" s="90" t="inlineStr">
        <is>
          <t>12.56m x 9.64m</t>
        </is>
      </c>
      <c r="G90" s="93">
        <f>E90*120</f>
        <v/>
      </c>
      <c r="H90" s="90" t="n">
        <v>66</v>
      </c>
      <c r="I90" s="90" t="n">
        <v>91</v>
      </c>
      <c r="J90" s="94" t="inlineStr">
        <is>
          <t>Disponible</t>
        </is>
      </c>
    </row>
    <row r="91" ht="20" customHeight="1">
      <c r="A91" s="95" t="inlineStr">
        <is>
          <t>L090</t>
        </is>
      </c>
      <c r="B91" s="96" t="inlineStr">
        <is>
          <t>Lote 90</t>
        </is>
      </c>
      <c r="C91" s="95" t="inlineStr">
        <is>
          <t>M9</t>
        </is>
      </c>
      <c r="D91" s="96" t="inlineStr">
        <is>
          <t>Lote Tiny House</t>
        </is>
      </c>
      <c r="E91" s="97" t="n">
        <v>119.16</v>
      </c>
      <c r="F91" s="95" t="inlineStr">
        <is>
          <t>12.56m x 9.60m</t>
        </is>
      </c>
      <c r="G91" s="98">
        <f>E91*120</f>
        <v/>
      </c>
      <c r="H91" s="95" t="n">
        <v>65</v>
      </c>
      <c r="I91" s="95" t="n">
        <v>78</v>
      </c>
      <c r="J91" s="94" t="inlineStr">
        <is>
          <t>Disponible</t>
        </is>
      </c>
    </row>
    <row r="92" ht="20" customHeight="1">
      <c r="A92" s="90" t="inlineStr">
        <is>
          <t>L091</t>
        </is>
      </c>
      <c r="B92" s="91" t="inlineStr">
        <is>
          <t>Lote 91</t>
        </is>
      </c>
      <c r="C92" s="90" t="inlineStr">
        <is>
          <t>M9</t>
        </is>
      </c>
      <c r="D92" s="91" t="inlineStr">
        <is>
          <t>Lote Tiny House</t>
        </is>
      </c>
      <c r="E92" s="92" t="n">
        <v>119.2</v>
      </c>
      <c r="F92" s="90" t="inlineStr">
        <is>
          <t>12.58m x 9.57m</t>
        </is>
      </c>
      <c r="G92" s="93">
        <f>E92*120</f>
        <v/>
      </c>
      <c r="H92" s="90" t="n">
        <v>65</v>
      </c>
      <c r="I92" s="90" t="n">
        <v>65</v>
      </c>
      <c r="J92" s="94" t="inlineStr">
        <is>
          <t>Disponible</t>
        </is>
      </c>
    </row>
    <row r="93" ht="20" customHeight="1">
      <c r="A93" s="95" t="inlineStr">
        <is>
          <t>L092</t>
        </is>
      </c>
      <c r="B93" s="96" t="inlineStr">
        <is>
          <t>Lote 92</t>
        </is>
      </c>
      <c r="C93" s="95" t="inlineStr">
        <is>
          <t>M9</t>
        </is>
      </c>
      <c r="D93" s="96" t="inlineStr">
        <is>
          <t>Lote Tiny House</t>
        </is>
      </c>
      <c r="E93" s="97" t="n">
        <v>119.46</v>
      </c>
      <c r="F93" s="95" t="inlineStr">
        <is>
          <t>12.58m x 9.58m</t>
        </is>
      </c>
      <c r="G93" s="98">
        <f>E93*120</f>
        <v/>
      </c>
      <c r="H93" s="95" t="n">
        <v>66</v>
      </c>
      <c r="I93" s="95" t="n">
        <v>53</v>
      </c>
      <c r="J93" s="94" t="inlineStr">
        <is>
          <t>Disponible</t>
        </is>
      </c>
    </row>
    <row r="94" ht="20" customHeight="1">
      <c r="A94" s="90" t="inlineStr">
        <is>
          <t>L093</t>
        </is>
      </c>
      <c r="B94" s="91" t="inlineStr">
        <is>
          <t>Lote 93</t>
        </is>
      </c>
      <c r="C94" s="90" t="inlineStr">
        <is>
          <t>M9</t>
        </is>
      </c>
      <c r="D94" s="91" t="inlineStr">
        <is>
          <t>Lote Tiny House</t>
        </is>
      </c>
      <c r="E94" s="92" t="n">
        <v>120.07</v>
      </c>
      <c r="F94" s="90" t="inlineStr">
        <is>
          <t>12.58m x 9.61m</t>
        </is>
      </c>
      <c r="G94" s="93">
        <f>E94*120</f>
        <v/>
      </c>
      <c r="H94" s="90" t="n">
        <v>66</v>
      </c>
      <c r="I94" s="90" t="n">
        <v>40</v>
      </c>
      <c r="J94" s="99" t="inlineStr">
        <is>
          <t>Disponible</t>
        </is>
      </c>
    </row>
    <row r="95" ht="20" customHeight="1">
      <c r="A95" s="95" t="inlineStr">
        <is>
          <t>L094</t>
        </is>
      </c>
      <c r="B95" s="96" t="inlineStr">
        <is>
          <t>Lote 94</t>
        </is>
      </c>
      <c r="C95" s="95" t="inlineStr">
        <is>
          <t>M9</t>
        </is>
      </c>
      <c r="D95" s="96" t="inlineStr">
        <is>
          <t>Lote Tiny House</t>
        </is>
      </c>
      <c r="E95" s="97" t="n">
        <v>120.97</v>
      </c>
      <c r="F95" s="95" t="inlineStr">
        <is>
          <t>12.58m x 9.67m</t>
        </is>
      </c>
      <c r="G95" s="98">
        <f>E95*120</f>
        <v/>
      </c>
      <c r="H95" s="95" t="n">
        <v>67</v>
      </c>
      <c r="I95" s="95" t="n">
        <v>28</v>
      </c>
      <c r="J95" s="99" t="inlineStr">
        <is>
          <t>Disponible</t>
        </is>
      </c>
    </row>
    <row r="96" ht="20" customHeight="1">
      <c r="A96" s="90" t="inlineStr">
        <is>
          <t>L095</t>
        </is>
      </c>
      <c r="B96" s="91" t="inlineStr">
        <is>
          <t>Lote 95</t>
        </is>
      </c>
      <c r="C96" s="90" t="inlineStr">
        <is>
          <t>M9</t>
        </is>
      </c>
      <c r="D96" s="91" t="inlineStr">
        <is>
          <t>Lote Tiny House</t>
        </is>
      </c>
      <c r="E96" s="92" t="n">
        <v>122.11</v>
      </c>
      <c r="F96" s="90" t="inlineStr">
        <is>
          <t>12.58m x 9.75m</t>
        </is>
      </c>
      <c r="G96" s="93">
        <f>E96*120</f>
        <v/>
      </c>
      <c r="H96" s="90" t="n">
        <v>68</v>
      </c>
      <c r="I96" s="90" t="n">
        <v>15</v>
      </c>
      <c r="J96" s="99" t="inlineStr">
        <is>
          <t>Disponible</t>
        </is>
      </c>
    </row>
    <row r="97" ht="20" customHeight="1">
      <c r="A97" s="95" t="inlineStr">
        <is>
          <t>L096</t>
        </is>
      </c>
      <c r="B97" s="96" t="inlineStr">
        <is>
          <t>Lote 96</t>
        </is>
      </c>
      <c r="C97" s="95" t="inlineStr">
        <is>
          <t>M9</t>
        </is>
      </c>
      <c r="D97" s="96" t="inlineStr">
        <is>
          <t>Lote Tiny House</t>
        </is>
      </c>
      <c r="E97" s="97" t="n">
        <v>121.31</v>
      </c>
      <c r="F97" s="95" t="inlineStr">
        <is>
          <t>12.56m x 9.76m</t>
        </is>
      </c>
      <c r="G97" s="98">
        <f>E97*120</f>
        <v/>
      </c>
      <c r="H97" s="95" t="n">
        <v>58</v>
      </c>
      <c r="I97" s="95" t="n">
        <v>116</v>
      </c>
      <c r="J97" s="99" t="inlineStr">
        <is>
          <t>Disponible</t>
        </is>
      </c>
    </row>
    <row r="98" ht="20" customHeight="1">
      <c r="A98" s="90" t="inlineStr">
        <is>
          <t>L097</t>
        </is>
      </c>
      <c r="B98" s="91" t="inlineStr">
        <is>
          <t>Lote 97</t>
        </is>
      </c>
      <c r="C98" s="90" t="inlineStr">
        <is>
          <t>M9</t>
        </is>
      </c>
      <c r="D98" s="91" t="inlineStr">
        <is>
          <t>Lote Tiny House</t>
        </is>
      </c>
      <c r="E98" s="92" t="n">
        <v>120.19</v>
      </c>
      <c r="F98" s="90" t="inlineStr">
        <is>
          <t>12.57m x 9.71m</t>
        </is>
      </c>
      <c r="G98" s="93">
        <f>E98*120</f>
        <v/>
      </c>
      <c r="H98" s="90" t="n">
        <v>57</v>
      </c>
      <c r="I98" s="90" t="n">
        <v>103</v>
      </c>
      <c r="J98" s="99" t="inlineStr">
        <is>
          <t>Disponible</t>
        </is>
      </c>
    </row>
    <row r="99" ht="20" customHeight="1">
      <c r="A99" s="95" t="inlineStr">
        <is>
          <t>L098</t>
        </is>
      </c>
      <c r="B99" s="96" t="inlineStr">
        <is>
          <t>Lote 98</t>
        </is>
      </c>
      <c r="C99" s="95" t="inlineStr">
        <is>
          <t>M9</t>
        </is>
      </c>
      <c r="D99" s="96" t="inlineStr">
        <is>
          <t>Lote Tiny House</t>
        </is>
      </c>
      <c r="E99" s="97" t="n">
        <v>119.53</v>
      </c>
      <c r="F99" s="95" t="inlineStr">
        <is>
          <t>12.57m x 9.64m</t>
        </is>
      </c>
      <c r="G99" s="98">
        <f>E99*120</f>
        <v/>
      </c>
      <c r="H99" s="95" t="n">
        <v>56</v>
      </c>
      <c r="I99" s="95" t="n">
        <v>91</v>
      </c>
      <c r="J99" s="99" t="inlineStr">
        <is>
          <t>Disponible</t>
        </is>
      </c>
    </row>
    <row r="100" ht="20" customHeight="1">
      <c r="A100" s="90" t="inlineStr">
        <is>
          <t>L099</t>
        </is>
      </c>
      <c r="B100" s="91" t="inlineStr">
        <is>
          <t>Lote 99</t>
        </is>
      </c>
      <c r="C100" s="90" t="inlineStr">
        <is>
          <t>M9</t>
        </is>
      </c>
      <c r="D100" s="91" t="inlineStr">
        <is>
          <t>Lote Tiny House</t>
        </is>
      </c>
      <c r="E100" s="92" t="n">
        <v>119.16</v>
      </c>
      <c r="F100" s="90" t="inlineStr">
        <is>
          <t>12.57m x 9.60m</t>
        </is>
      </c>
      <c r="G100" s="93">
        <f>E100*120</f>
        <v/>
      </c>
      <c r="H100" s="90" t="n">
        <v>56</v>
      </c>
      <c r="I100" s="90" t="n">
        <v>78</v>
      </c>
      <c r="J100" s="100" t="inlineStr">
        <is>
          <t>Vendido</t>
        </is>
      </c>
    </row>
    <row r="101" ht="20" customHeight="1">
      <c r="A101" s="95" t="inlineStr">
        <is>
          <t>L100</t>
        </is>
      </c>
      <c r="B101" s="96" t="inlineStr">
        <is>
          <t>Lote 100</t>
        </is>
      </c>
      <c r="C101" s="95" t="inlineStr">
        <is>
          <t>M9</t>
        </is>
      </c>
      <c r="D101" s="96" t="inlineStr">
        <is>
          <t>Lote Tiny House</t>
        </is>
      </c>
      <c r="E101" s="97" t="n">
        <v>119.23</v>
      </c>
      <c r="F101" s="95" t="inlineStr">
        <is>
          <t>12.58m x 9.57m</t>
        </is>
      </c>
      <c r="G101" s="98">
        <f>E101*120</f>
        <v/>
      </c>
      <c r="H101" s="95" t="n">
        <v>56</v>
      </c>
      <c r="I101" s="95" t="n">
        <v>65</v>
      </c>
      <c r="J101" s="94" t="inlineStr">
        <is>
          <t>Disponible</t>
        </is>
      </c>
    </row>
    <row r="102" ht="20" customHeight="1">
      <c r="A102" s="90" t="inlineStr">
        <is>
          <t>L101</t>
        </is>
      </c>
      <c r="B102" s="91" t="inlineStr">
        <is>
          <t>Lote 101</t>
        </is>
      </c>
      <c r="C102" s="90" t="inlineStr">
        <is>
          <t>M9</t>
        </is>
      </c>
      <c r="D102" s="91" t="inlineStr">
        <is>
          <t>Lote Tiny House</t>
        </is>
      </c>
      <c r="E102" s="92" t="n">
        <v>119.53</v>
      </c>
      <c r="F102" s="90" t="inlineStr">
        <is>
          <t>12.58m x 9.58m</t>
        </is>
      </c>
      <c r="G102" s="93">
        <f>E102*120</f>
        <v/>
      </c>
      <c r="H102" s="90" t="n">
        <v>56</v>
      </c>
      <c r="I102" s="90" t="n">
        <v>53</v>
      </c>
      <c r="J102" s="99" t="inlineStr">
        <is>
          <t>Disponible</t>
        </is>
      </c>
    </row>
    <row r="103" ht="20" customHeight="1">
      <c r="A103" s="95" t="inlineStr">
        <is>
          <t>L102</t>
        </is>
      </c>
      <c r="B103" s="96" t="inlineStr">
        <is>
          <t>Lote 102</t>
        </is>
      </c>
      <c r="C103" s="95" t="inlineStr">
        <is>
          <t>M9</t>
        </is>
      </c>
      <c r="D103" s="96" t="inlineStr">
        <is>
          <t>Lote Tiny House</t>
        </is>
      </c>
      <c r="E103" s="97" t="n">
        <v>120.16</v>
      </c>
      <c r="F103" s="95" t="inlineStr">
        <is>
          <t>12.58m x 9.61m</t>
        </is>
      </c>
      <c r="G103" s="98">
        <f>E103*120</f>
        <v/>
      </c>
      <c r="H103" s="95" t="n">
        <v>57</v>
      </c>
      <c r="I103" s="95" t="n">
        <v>40</v>
      </c>
      <c r="J103" s="99" t="inlineStr">
        <is>
          <t>Disponible</t>
        </is>
      </c>
    </row>
    <row r="104" ht="20" customHeight="1">
      <c r="A104" s="90" t="inlineStr">
        <is>
          <t>L103</t>
        </is>
      </c>
      <c r="B104" s="91" t="inlineStr">
        <is>
          <t>Lote 103</t>
        </is>
      </c>
      <c r="C104" s="90" t="inlineStr">
        <is>
          <t>M9</t>
        </is>
      </c>
      <c r="D104" s="91" t="inlineStr">
        <is>
          <t>Lote Tiny House</t>
        </is>
      </c>
      <c r="E104" s="92" t="n">
        <v>121.08</v>
      </c>
      <c r="F104" s="90" t="inlineStr">
        <is>
          <t>12.58m x 9.67m</t>
        </is>
      </c>
      <c r="G104" s="93">
        <f>E104*120</f>
        <v/>
      </c>
      <c r="H104" s="90" t="n">
        <v>57</v>
      </c>
      <c r="I104" s="90" t="n">
        <v>28</v>
      </c>
      <c r="J104" s="94" t="inlineStr">
        <is>
          <t>Disponible</t>
        </is>
      </c>
    </row>
    <row r="105" ht="20" customHeight="1">
      <c r="A105" s="95" t="inlineStr">
        <is>
          <t>L104</t>
        </is>
      </c>
      <c r="B105" s="96" t="inlineStr">
        <is>
          <t>Lote 104</t>
        </is>
      </c>
      <c r="C105" s="95" t="inlineStr">
        <is>
          <t>M9</t>
        </is>
      </c>
      <c r="D105" s="96" t="inlineStr">
        <is>
          <t>Lote Tiny House</t>
        </is>
      </c>
      <c r="E105" s="97" t="n">
        <v>122.23</v>
      </c>
      <c r="F105" s="95" t="inlineStr">
        <is>
          <t>12.58m x 9.75m</t>
        </is>
      </c>
      <c r="G105" s="98">
        <f>E105*120</f>
        <v/>
      </c>
      <c r="H105" s="95" t="n">
        <v>58</v>
      </c>
      <c r="I105" s="95" t="n">
        <v>15</v>
      </c>
      <c r="J105" s="99" t="inlineStr">
        <is>
          <t>Disponible</t>
        </is>
      </c>
    </row>
    <row r="106" ht="20" customHeight="1">
      <c r="A106" s="90" t="inlineStr">
        <is>
          <t>L105</t>
        </is>
      </c>
      <c r="B106" s="91" t="inlineStr">
        <is>
          <t>Lote 105</t>
        </is>
      </c>
      <c r="C106" s="90" t="inlineStr">
        <is>
          <t>M10</t>
        </is>
      </c>
      <c r="D106" s="91" t="inlineStr">
        <is>
          <t>Lote Tiny House</t>
        </is>
      </c>
      <c r="E106" s="92" t="n">
        <v>224.59</v>
      </c>
      <c r="F106" s="90" t="inlineStr">
        <is>
          <t>12.17m x 18.75m</t>
        </is>
      </c>
      <c r="G106" s="93">
        <f>E106*120</f>
        <v/>
      </c>
      <c r="H106" s="90" t="n">
        <v>33</v>
      </c>
      <c r="I106" s="90" t="n">
        <v>33</v>
      </c>
      <c r="J106" s="94" t="inlineStr">
        <is>
          <t>Disponible</t>
        </is>
      </c>
    </row>
    <row r="107" ht="20" customHeight="1">
      <c r="A107" s="95" t="inlineStr">
        <is>
          <t>L106</t>
        </is>
      </c>
      <c r="B107" s="96" t="inlineStr">
        <is>
          <t>Lote 106</t>
        </is>
      </c>
      <c r="C107" s="95" t="inlineStr">
        <is>
          <t>M10</t>
        </is>
      </c>
      <c r="D107" s="96" t="inlineStr">
        <is>
          <t>Lote Tiny House</t>
        </is>
      </c>
      <c r="E107" s="97" t="n">
        <v>224.25</v>
      </c>
      <c r="F107" s="95" t="inlineStr">
        <is>
          <t>12.17m x 18.67m</t>
        </is>
      </c>
      <c r="G107" s="98">
        <f>E107*120</f>
        <v/>
      </c>
      <c r="H107" s="95" t="n">
        <v>33</v>
      </c>
      <c r="I107" s="95" t="n">
        <v>42</v>
      </c>
      <c r="J107" s="94" t="inlineStr">
        <is>
          <t>Disponible</t>
        </is>
      </c>
    </row>
    <row r="108" ht="20" customHeight="1">
      <c r="A108" s="90" t="inlineStr">
        <is>
          <t>L107</t>
        </is>
      </c>
      <c r="B108" s="91" t="inlineStr">
        <is>
          <t>Lote 107</t>
        </is>
      </c>
      <c r="C108" s="90" t="inlineStr">
        <is>
          <t>M10</t>
        </is>
      </c>
      <c r="D108" s="91" t="inlineStr">
        <is>
          <t>Lote Tiny House</t>
        </is>
      </c>
      <c r="E108" s="92" t="n">
        <v>224.5</v>
      </c>
      <c r="F108" s="90" t="inlineStr">
        <is>
          <t>12.17m x 18.64m</t>
        </is>
      </c>
      <c r="G108" s="93">
        <f>E108*120</f>
        <v/>
      </c>
      <c r="H108" s="90" t="n">
        <v>33</v>
      </c>
      <c r="I108" s="90" t="n">
        <v>52</v>
      </c>
      <c r="J108" s="94" t="inlineStr">
        <is>
          <t>Disponible</t>
        </is>
      </c>
    </row>
    <row r="109" ht="20" customHeight="1">
      <c r="A109" s="95" t="inlineStr">
        <is>
          <t>L108</t>
        </is>
      </c>
      <c r="B109" s="96" t="inlineStr">
        <is>
          <t>Lote 108</t>
        </is>
      </c>
      <c r="C109" s="95" t="inlineStr">
        <is>
          <t>M10</t>
        </is>
      </c>
      <c r="D109" s="96" t="inlineStr">
        <is>
          <t>Lote Tiny House</t>
        </is>
      </c>
      <c r="E109" s="97" t="n">
        <v>225.79</v>
      </c>
      <c r="F109" s="95" t="inlineStr">
        <is>
          <t>12.19m x 18.66m</t>
        </is>
      </c>
      <c r="G109" s="98">
        <f>E109*120</f>
        <v/>
      </c>
      <c r="H109" s="95" t="n">
        <v>33</v>
      </c>
      <c r="I109" s="95" t="n">
        <v>64</v>
      </c>
      <c r="J109" s="94" t="inlineStr">
        <is>
          <t>Disponible</t>
        </is>
      </c>
    </row>
    <row r="110" ht="20" customHeight="1">
      <c r="A110" s="90" t="inlineStr">
        <is>
          <t>L109</t>
        </is>
      </c>
      <c r="B110" s="91" t="inlineStr">
        <is>
          <t>Lote 109</t>
        </is>
      </c>
      <c r="C110" s="90" t="inlineStr">
        <is>
          <t>M10</t>
        </is>
      </c>
      <c r="D110" s="91" t="inlineStr">
        <is>
          <t>Lote Tiny House</t>
        </is>
      </c>
      <c r="E110" s="92" t="n">
        <v>227.19</v>
      </c>
      <c r="F110" s="90" t="inlineStr">
        <is>
          <t>12.19m x 18.74m</t>
        </is>
      </c>
      <c r="G110" s="93">
        <f>E110*120</f>
        <v/>
      </c>
      <c r="H110" s="90" t="n">
        <v>33</v>
      </c>
      <c r="I110" s="90" t="n">
        <v>75</v>
      </c>
      <c r="J110" s="94" t="inlineStr">
        <is>
          <t>Disponible</t>
        </is>
      </c>
    </row>
    <row r="111" ht="20" customHeight="1">
      <c r="A111" s="95" t="inlineStr">
        <is>
          <t>L110</t>
        </is>
      </c>
      <c r="B111" s="96" t="inlineStr">
        <is>
          <t>Lote 110</t>
        </is>
      </c>
      <c r="C111" s="95" t="inlineStr">
        <is>
          <t>M10</t>
        </is>
      </c>
      <c r="D111" s="96" t="inlineStr">
        <is>
          <t>Lote Tiny House</t>
        </is>
      </c>
      <c r="E111" s="97" t="n">
        <v>229.04</v>
      </c>
      <c r="F111" s="95" t="inlineStr">
        <is>
          <t>12.19m x 18.86m</t>
        </is>
      </c>
      <c r="G111" s="98">
        <f>E111*120</f>
        <v/>
      </c>
      <c r="H111" s="95" t="n">
        <v>34</v>
      </c>
      <c r="I111" s="95" t="n">
        <v>87</v>
      </c>
      <c r="J111" s="94" t="inlineStr">
        <is>
          <t>Disponible</t>
        </is>
      </c>
    </row>
    <row r="112" ht="20" customHeight="1">
      <c r="A112" s="90" t="inlineStr">
        <is>
          <t>L111</t>
        </is>
      </c>
      <c r="B112" s="91" t="inlineStr">
        <is>
          <t>Lote 111</t>
        </is>
      </c>
      <c r="C112" s="90" t="inlineStr">
        <is>
          <t>M10</t>
        </is>
      </c>
      <c r="D112" s="91" t="inlineStr">
        <is>
          <t>Lote Tiny House</t>
        </is>
      </c>
      <c r="E112" s="92" t="n">
        <v>231.24</v>
      </c>
      <c r="F112" s="90" t="inlineStr">
        <is>
          <t>12.19m x 19.02m</t>
        </is>
      </c>
      <c r="G112" s="93">
        <f>E112*120</f>
        <v/>
      </c>
      <c r="H112" s="90" t="n">
        <v>34</v>
      </c>
      <c r="I112" s="90" t="n">
        <v>97</v>
      </c>
      <c r="J112" s="94" t="inlineStr">
        <is>
          <t>Disponible</t>
        </is>
      </c>
    </row>
    <row r="113" ht="20" customHeight="1">
      <c r="A113" s="95" t="inlineStr">
        <is>
          <t>L112</t>
        </is>
      </c>
      <c r="B113" s="96" t="inlineStr">
        <is>
          <t>Lote 112</t>
        </is>
      </c>
      <c r="C113" s="95" t="inlineStr">
        <is>
          <t>M11</t>
        </is>
      </c>
      <c r="D113" s="96" t="inlineStr">
        <is>
          <t>Lote Tiny House</t>
        </is>
      </c>
      <c r="E113" s="97" t="n">
        <v>231.9</v>
      </c>
      <c r="F113" s="95" t="inlineStr">
        <is>
          <t>12.08m x 19.26m</t>
        </is>
      </c>
      <c r="G113" s="98">
        <f>E113*120</f>
        <v/>
      </c>
      <c r="H113" s="95" t="n">
        <v>36</v>
      </c>
      <c r="I113" s="95" t="n">
        <v>112</v>
      </c>
      <c r="J113" s="94" t="inlineStr">
        <is>
          <t>Disponible</t>
        </is>
      </c>
    </row>
    <row r="114" ht="20" customHeight="1">
      <c r="A114" s="90" t="inlineStr">
        <is>
          <t>L113</t>
        </is>
      </c>
      <c r="B114" s="91" t="inlineStr">
        <is>
          <t>Lote 113</t>
        </is>
      </c>
      <c r="C114" s="90" t="inlineStr">
        <is>
          <t>M11</t>
        </is>
      </c>
      <c r="D114" s="91" t="inlineStr">
        <is>
          <t>Lote Tiny House</t>
        </is>
      </c>
      <c r="E114" s="92" t="n">
        <v>231.69</v>
      </c>
      <c r="F114" s="90" t="inlineStr">
        <is>
          <t>12.08m x 19.34m</t>
        </is>
      </c>
      <c r="G114" s="93">
        <f>E114*120</f>
        <v/>
      </c>
      <c r="H114" s="90" t="n">
        <v>35</v>
      </c>
      <c r="I114" s="90" t="n">
        <v>123</v>
      </c>
      <c r="J114" s="94" t="inlineStr">
        <is>
          <t>Disponible</t>
        </is>
      </c>
    </row>
    <row r="115" ht="20" customHeight="1">
      <c r="A115" s="95" t="inlineStr">
        <is>
          <t>L114</t>
        </is>
      </c>
      <c r="B115" s="96" t="inlineStr">
        <is>
          <t>Lote 114</t>
        </is>
      </c>
      <c r="C115" s="95" t="inlineStr">
        <is>
          <t>M11</t>
        </is>
      </c>
      <c r="D115" s="96" t="inlineStr">
        <is>
          <t>Lote Tiny House</t>
        </is>
      </c>
      <c r="E115" s="97" t="n">
        <v>232</v>
      </c>
      <c r="F115" s="95" t="inlineStr">
        <is>
          <t>12.08m x 19.37m</t>
        </is>
      </c>
      <c r="G115" s="98">
        <f>E115*120</f>
        <v/>
      </c>
      <c r="H115" s="95" t="n">
        <v>35</v>
      </c>
      <c r="I115" s="95" t="n">
        <v>134</v>
      </c>
      <c r="J115" s="94" t="inlineStr">
        <is>
          <t>Disponible</t>
        </is>
      </c>
    </row>
    <row r="116" ht="20" customHeight="1">
      <c r="A116" s="90" t="inlineStr">
        <is>
          <t>L115</t>
        </is>
      </c>
      <c r="B116" s="91" t="inlineStr">
        <is>
          <t>Lote 115</t>
        </is>
      </c>
      <c r="C116" s="90" t="inlineStr">
        <is>
          <t>M11</t>
        </is>
      </c>
      <c r="D116" s="91" t="inlineStr">
        <is>
          <t>Lote Tiny House</t>
        </is>
      </c>
      <c r="E116" s="92" t="n">
        <v>232.32</v>
      </c>
      <c r="F116" s="90" t="inlineStr">
        <is>
          <t>12.08m x 19.39m</t>
        </is>
      </c>
      <c r="G116" s="93">
        <f>E116*120</f>
        <v/>
      </c>
      <c r="H116" s="90" t="n">
        <v>36</v>
      </c>
      <c r="I116" s="90" t="n">
        <v>145</v>
      </c>
      <c r="J116" s="94" t="inlineStr">
        <is>
          <t>Disponible</t>
        </is>
      </c>
    </row>
    <row r="117" ht="20" customHeight="1">
      <c r="A117" s="95" t="inlineStr">
        <is>
          <t>L116</t>
        </is>
      </c>
      <c r="B117" s="96" t="inlineStr">
        <is>
          <t>Lote 116</t>
        </is>
      </c>
      <c r="C117" s="95" t="inlineStr">
        <is>
          <t>M11</t>
        </is>
      </c>
      <c r="D117" s="96" t="inlineStr">
        <is>
          <t>Lote Tiny House</t>
        </is>
      </c>
      <c r="E117" s="97" t="n">
        <v>232.63</v>
      </c>
      <c r="F117" s="95" t="inlineStr">
        <is>
          <t>12.08m x 19.42m</t>
        </is>
      </c>
      <c r="G117" s="98">
        <f>E117*120</f>
        <v/>
      </c>
      <c r="H117" s="95" t="n">
        <v>36</v>
      </c>
      <c r="I117" s="95" t="n">
        <v>145</v>
      </c>
      <c r="J117" s="94" t="inlineStr">
        <is>
          <t>Disponible</t>
        </is>
      </c>
    </row>
    <row r="118" ht="20" customHeight="1">
      <c r="A118" s="90" t="inlineStr">
        <is>
          <t>L117</t>
        </is>
      </c>
      <c r="B118" s="91" t="inlineStr">
        <is>
          <t>Lote 117</t>
        </is>
      </c>
      <c r="C118" s="90" t="inlineStr">
        <is>
          <t>M11</t>
        </is>
      </c>
      <c r="D118" s="91" t="inlineStr">
        <is>
          <t>Lote Tiny House</t>
        </is>
      </c>
      <c r="E118" s="92" t="n">
        <v>232.95</v>
      </c>
      <c r="F118" s="90" t="inlineStr">
        <is>
          <t>12.08m x 19.45m</t>
        </is>
      </c>
      <c r="G118" s="93">
        <f>E118*120</f>
        <v/>
      </c>
      <c r="H118" s="90" t="n">
        <v>36</v>
      </c>
      <c r="I118" s="90" t="n">
        <v>145</v>
      </c>
      <c r="J118" s="94" t="inlineStr">
        <is>
          <t>Disponible</t>
        </is>
      </c>
    </row>
    <row r="119" ht="20" customHeight="1">
      <c r="A119" s="95" t="inlineStr">
        <is>
          <t>L118</t>
        </is>
      </c>
      <c r="B119" s="96" t="inlineStr">
        <is>
          <t>Lote 118</t>
        </is>
      </c>
      <c r="C119" s="95" t="inlineStr">
        <is>
          <t>M11</t>
        </is>
      </c>
      <c r="D119" s="96" t="inlineStr">
        <is>
          <t>Lote Tiny House</t>
        </is>
      </c>
      <c r="E119" s="97" t="n">
        <v>233.26</v>
      </c>
      <c r="F119" s="95" t="inlineStr">
        <is>
          <t>12.08m x 19.47m</t>
        </is>
      </c>
      <c r="G119" s="98">
        <f>E119*120</f>
        <v/>
      </c>
      <c r="H119" s="95" t="n">
        <v>36</v>
      </c>
      <c r="I119" s="95" t="n">
        <v>145</v>
      </c>
      <c r="J119" s="94" t="inlineStr">
        <is>
          <t>Disponible</t>
        </is>
      </c>
    </row>
    <row r="120" ht="20" customHeight="1">
      <c r="A120" s="90" t="inlineStr">
        <is>
          <t>L119</t>
        </is>
      </c>
      <c r="B120" s="91" t="inlineStr">
        <is>
          <t>Lote 119</t>
        </is>
      </c>
      <c r="C120" s="90" t="inlineStr">
        <is>
          <t>M11</t>
        </is>
      </c>
      <c r="D120" s="91" t="inlineStr">
        <is>
          <t>Lote Tiny House</t>
        </is>
      </c>
      <c r="E120" s="92" t="n">
        <v>233.58</v>
      </c>
      <c r="F120" s="90" t="inlineStr">
        <is>
          <t>12.08m x 19.50m</t>
        </is>
      </c>
      <c r="G120" s="93">
        <f>E120*120</f>
        <v/>
      </c>
      <c r="H120" s="90" t="n">
        <v>36</v>
      </c>
      <c r="I120" s="90" t="n">
        <v>145</v>
      </c>
      <c r="J120" s="94" t="inlineStr">
        <is>
          <t>Disponible</t>
        </is>
      </c>
    </row>
    <row r="121" ht="20" customHeight="1">
      <c r="A121" s="95" t="inlineStr">
        <is>
          <t>L120</t>
        </is>
      </c>
      <c r="B121" s="96" t="inlineStr">
        <is>
          <t>Lote 120</t>
        </is>
      </c>
      <c r="C121" s="95" t="inlineStr">
        <is>
          <t>M11</t>
        </is>
      </c>
      <c r="D121" s="96" t="inlineStr">
        <is>
          <t>Lote Tiny House</t>
        </is>
      </c>
      <c r="E121" s="97" t="n">
        <v>233.89</v>
      </c>
      <c r="F121" s="95" t="inlineStr">
        <is>
          <t>12.08m x 19.52m</t>
        </is>
      </c>
      <c r="G121" s="98">
        <f>E121*120</f>
        <v/>
      </c>
      <c r="H121" s="95" t="n">
        <v>36</v>
      </c>
      <c r="I121" s="95" t="n">
        <v>145</v>
      </c>
      <c r="J121" s="101" t="inlineStr">
        <is>
          <t>Disponible</t>
        </is>
      </c>
    </row>
    <row r="122" ht="20" customHeight="1">
      <c r="A122" s="90" t="inlineStr">
        <is>
          <t>L121</t>
        </is>
      </c>
      <c r="B122" s="91" t="inlineStr">
        <is>
          <t>Lote 121</t>
        </is>
      </c>
      <c r="C122" s="90" t="inlineStr">
        <is>
          <t>M11</t>
        </is>
      </c>
      <c r="D122" s="91" t="inlineStr">
        <is>
          <t>Lote Tiny House</t>
        </is>
      </c>
      <c r="E122" s="92" t="n">
        <v>234.2</v>
      </c>
      <c r="F122" s="90" t="inlineStr">
        <is>
          <t>12.08m x 19.55m</t>
        </is>
      </c>
      <c r="G122" s="93">
        <f>E122*120</f>
        <v/>
      </c>
      <c r="H122" s="90" t="n">
        <v>36</v>
      </c>
      <c r="I122" s="90" t="n">
        <v>133</v>
      </c>
      <c r="J122" s="94" t="inlineStr">
        <is>
          <t>Disponible</t>
        </is>
      </c>
    </row>
    <row r="123" ht="20" customHeight="1">
      <c r="A123" s="95" t="inlineStr">
        <is>
          <t>L122</t>
        </is>
      </c>
      <c r="B123" s="96" t="inlineStr">
        <is>
          <t>Lote 122</t>
        </is>
      </c>
      <c r="C123" s="95" t="inlineStr">
        <is>
          <t>M12</t>
        </is>
      </c>
      <c r="D123" s="96" t="inlineStr">
        <is>
          <t>Lote Tiny House</t>
        </is>
      </c>
      <c r="E123" s="97" t="n">
        <v>242.51</v>
      </c>
      <c r="F123" s="95" t="inlineStr">
        <is>
          <t>12.57m x 19.53m</t>
        </is>
      </c>
      <c r="G123" s="98">
        <f>E123*120</f>
        <v/>
      </c>
      <c r="H123" s="95" t="n">
        <v>35</v>
      </c>
      <c r="I123" s="95" t="n">
        <v>116</v>
      </c>
      <c r="J123" s="94" t="inlineStr">
        <is>
          <t>Disponible</t>
        </is>
      </c>
    </row>
    <row r="124" ht="20" customHeight="1">
      <c r="A124" s="90" t="inlineStr">
        <is>
          <t>L123</t>
        </is>
      </c>
      <c r="B124" s="91" t="inlineStr">
        <is>
          <t>Lote 123</t>
        </is>
      </c>
      <c r="C124" s="90" t="inlineStr">
        <is>
          <t>M12</t>
        </is>
      </c>
      <c r="D124" s="91" t="inlineStr">
        <is>
          <t>Lote Tiny House</t>
        </is>
      </c>
      <c r="E124" s="92" t="n">
        <v>240.04</v>
      </c>
      <c r="F124" s="90" t="inlineStr">
        <is>
          <t>12.58m x 19.42m</t>
        </is>
      </c>
      <c r="G124" s="93">
        <f>E124*120</f>
        <v/>
      </c>
      <c r="H124" s="90" t="n">
        <v>34</v>
      </c>
      <c r="I124" s="90" t="n">
        <v>103</v>
      </c>
      <c r="J124" s="94" t="inlineStr">
        <is>
          <t>Disponible</t>
        </is>
      </c>
    </row>
    <row r="125" ht="20" customHeight="1">
      <c r="A125" s="95" t="inlineStr">
        <is>
          <t>L124</t>
        </is>
      </c>
      <c r="B125" s="96" t="inlineStr">
        <is>
          <t>Lote 124</t>
        </is>
      </c>
      <c r="C125" s="95" t="inlineStr">
        <is>
          <t>M12</t>
        </is>
      </c>
      <c r="D125" s="96" t="inlineStr">
        <is>
          <t>Lote Tiny House</t>
        </is>
      </c>
      <c r="E125" s="97" t="n">
        <v>238.87</v>
      </c>
      <c r="F125" s="95" t="inlineStr">
        <is>
          <t>12.58m x 19.29m</t>
        </is>
      </c>
      <c r="G125" s="98">
        <f>E125*120</f>
        <v/>
      </c>
      <c r="H125" s="95" t="n">
        <v>34</v>
      </c>
      <c r="I125" s="95" t="n">
        <v>91</v>
      </c>
      <c r="J125" s="94" t="inlineStr">
        <is>
          <t>Disponible</t>
        </is>
      </c>
    </row>
    <row r="126" ht="20" customHeight="1">
      <c r="A126" s="90" t="inlineStr">
        <is>
          <t>L125</t>
        </is>
      </c>
      <c r="B126" s="91" t="inlineStr">
        <is>
          <t>Lote 125</t>
        </is>
      </c>
      <c r="C126" s="90" t="inlineStr">
        <is>
          <t>M12</t>
        </is>
      </c>
      <c r="D126" s="91" t="inlineStr">
        <is>
          <t>Lote Tiny House</t>
        </is>
      </c>
      <c r="E126" s="92" t="n">
        <v>238.29</v>
      </c>
      <c r="F126" s="90" t="inlineStr">
        <is>
          <t>12.58m x 19.19m</t>
        </is>
      </c>
      <c r="G126" s="93">
        <f>E126*120</f>
        <v/>
      </c>
      <c r="H126" s="90" t="n">
        <v>34</v>
      </c>
      <c r="I126" s="90" t="n">
        <v>79</v>
      </c>
      <c r="J126" s="94" t="inlineStr">
        <is>
          <t>Disponible</t>
        </is>
      </c>
    </row>
    <row r="127" ht="20" customHeight="1">
      <c r="A127" s="95" t="inlineStr">
        <is>
          <t>L126</t>
        </is>
      </c>
      <c r="B127" s="96" t="inlineStr">
        <is>
          <t>Lote 126</t>
        </is>
      </c>
      <c r="C127" s="95" t="inlineStr">
        <is>
          <t>M12</t>
        </is>
      </c>
      <c r="D127" s="96" t="inlineStr">
        <is>
          <t>Lote Tiny House</t>
        </is>
      </c>
      <c r="E127" s="97" t="n">
        <v>238.63</v>
      </c>
      <c r="F127" s="95" t="inlineStr">
        <is>
          <t>12.59m x 19.15m</t>
        </is>
      </c>
      <c r="G127" s="98">
        <f>E127*120</f>
        <v/>
      </c>
      <c r="H127" s="95" t="n">
        <v>33</v>
      </c>
      <c r="I127" s="95" t="n">
        <v>66</v>
      </c>
      <c r="J127" s="94" t="inlineStr">
        <is>
          <t>Separado</t>
        </is>
      </c>
    </row>
    <row r="128" ht="20" customHeight="1">
      <c r="A128" s="90" t="inlineStr">
        <is>
          <t>L127</t>
        </is>
      </c>
      <c r="B128" s="91" t="inlineStr">
        <is>
          <t>Lote 127</t>
        </is>
      </c>
      <c r="C128" s="90" t="inlineStr">
        <is>
          <t>M12</t>
        </is>
      </c>
      <c r="D128" s="91" t="inlineStr">
        <is>
          <t>Lote Tiny House</t>
        </is>
      </c>
      <c r="E128" s="92" t="n">
        <v>239.39</v>
      </c>
      <c r="F128" s="90" t="inlineStr">
        <is>
          <t>12.59m x 19.15m</t>
        </is>
      </c>
      <c r="G128" s="93">
        <f>E128*120</f>
        <v/>
      </c>
      <c r="H128" s="90" t="n">
        <v>34</v>
      </c>
      <c r="I128" s="90" t="n">
        <v>53</v>
      </c>
      <c r="J128" s="94" t="inlineStr">
        <is>
          <t>Disponible</t>
        </is>
      </c>
    </row>
    <row r="129" ht="20" customHeight="1">
      <c r="A129" s="95" t="inlineStr">
        <is>
          <t>L128</t>
        </is>
      </c>
      <c r="B129" s="96" t="inlineStr">
        <is>
          <t>Lote 128</t>
        </is>
      </c>
      <c r="C129" s="95" t="inlineStr">
        <is>
          <t>M12</t>
        </is>
      </c>
      <c r="D129" s="96" t="inlineStr">
        <is>
          <t>Lote Tiny House</t>
        </is>
      </c>
      <c r="E129" s="97" t="n">
        <v>240.78</v>
      </c>
      <c r="F129" s="95" t="inlineStr">
        <is>
          <t>12.59m x 19.22m</t>
        </is>
      </c>
      <c r="G129" s="98">
        <f>E129*120</f>
        <v/>
      </c>
      <c r="H129" s="95" t="n">
        <v>34</v>
      </c>
      <c r="I129" s="95" t="n">
        <v>41</v>
      </c>
      <c r="J129" s="94" t="inlineStr">
        <is>
          <t>Disponible</t>
        </is>
      </c>
    </row>
    <row r="130" ht="20" customHeight="1">
      <c r="A130" s="90" t="inlineStr">
        <is>
          <t>L129</t>
        </is>
      </c>
      <c r="B130" s="91" t="inlineStr">
        <is>
          <t>Lote 129</t>
        </is>
      </c>
      <c r="C130" s="90" t="inlineStr">
        <is>
          <t>M12</t>
        </is>
      </c>
      <c r="D130" s="91" t="inlineStr">
        <is>
          <t>Lote Tiny House</t>
        </is>
      </c>
      <c r="E130" s="92" t="n">
        <v>242.69</v>
      </c>
      <c r="F130" s="90" t="inlineStr">
        <is>
          <t>12.59m x 19.34m</t>
        </is>
      </c>
      <c r="G130" s="93">
        <f>E130*120</f>
        <v/>
      </c>
      <c r="H130" s="90" t="n">
        <v>35</v>
      </c>
      <c r="I130" s="90" t="n">
        <v>28</v>
      </c>
      <c r="J130" s="94" t="inlineStr">
        <is>
          <t>Disponible</t>
        </is>
      </c>
    </row>
    <row r="131" ht="20" customHeight="1">
      <c r="A131" s="95" t="inlineStr">
        <is>
          <t>L130</t>
        </is>
      </c>
      <c r="B131" s="96" t="inlineStr">
        <is>
          <t>Lote 130</t>
        </is>
      </c>
      <c r="C131" s="95" t="inlineStr">
        <is>
          <t>M12</t>
        </is>
      </c>
      <c r="D131" s="96" t="inlineStr">
        <is>
          <t>Lote Tiny House</t>
        </is>
      </c>
      <c r="E131" s="97" t="n">
        <v>245.02</v>
      </c>
      <c r="F131" s="95" t="inlineStr">
        <is>
          <t>12.59m x 19.50m</t>
        </is>
      </c>
      <c r="G131" s="98">
        <f>E131*120</f>
        <v/>
      </c>
      <c r="H131" s="95" t="n">
        <v>35</v>
      </c>
      <c r="I131" s="95" t="n">
        <v>15</v>
      </c>
      <c r="J131" s="94" t="inlineStr">
        <is>
          <t>Disponible</t>
        </is>
      </c>
    </row>
    <row r="132" ht="20" customHeight="1">
      <c r="A132" s="90" t="inlineStr">
        <is>
          <t>L131</t>
        </is>
      </c>
      <c r="B132" s="91" t="inlineStr">
        <is>
          <t>Lote 131</t>
        </is>
      </c>
      <c r="C132" s="90" t="inlineStr">
        <is>
          <t>M13</t>
        </is>
      </c>
      <c r="D132" s="91" t="inlineStr">
        <is>
          <t>Lote Premium (Oasis)</t>
        </is>
      </c>
      <c r="E132" s="92" t="n">
        <v>230.11</v>
      </c>
      <c r="F132" s="90" t="inlineStr">
        <is>
          <t>12.20m x 18.93m</t>
        </is>
      </c>
      <c r="G132" s="93">
        <f>E132*170</f>
        <v/>
      </c>
      <c r="H132" s="90" t="n">
        <v>3</v>
      </c>
      <c r="I132" s="90" t="n">
        <v>57</v>
      </c>
      <c r="J132" s="101" t="inlineStr">
        <is>
          <t>Disponible</t>
        </is>
      </c>
    </row>
    <row r="133" ht="20" customHeight="1">
      <c r="A133" s="95" t="inlineStr">
        <is>
          <t>L132</t>
        </is>
      </c>
      <c r="B133" s="96" t="inlineStr">
        <is>
          <t>Lote 132</t>
        </is>
      </c>
      <c r="C133" s="95" t="inlineStr">
        <is>
          <t>M13</t>
        </is>
      </c>
      <c r="D133" s="96" t="inlineStr">
        <is>
          <t>Lote Premium (Oasis)</t>
        </is>
      </c>
      <c r="E133" s="97" t="n">
        <v>229.44</v>
      </c>
      <c r="F133" s="95" t="inlineStr">
        <is>
          <t>12.20m x 18.91m</t>
        </is>
      </c>
      <c r="G133" s="98">
        <f>E133*170</f>
        <v/>
      </c>
      <c r="H133" s="95" t="n">
        <v>1</v>
      </c>
      <c r="I133" s="95" t="n">
        <v>63</v>
      </c>
      <c r="J133" s="101" t="inlineStr">
        <is>
          <t>Disponible</t>
        </is>
      </c>
    </row>
    <row r="134" ht="20" customHeight="1">
      <c r="A134" s="90" t="inlineStr">
        <is>
          <t>L133</t>
        </is>
      </c>
      <c r="B134" s="91" t="inlineStr">
        <is>
          <t>Lote 133</t>
        </is>
      </c>
      <c r="C134" s="90" t="inlineStr">
        <is>
          <t>M13</t>
        </is>
      </c>
      <c r="D134" s="91" t="inlineStr">
        <is>
          <t>Lote Premium (Oasis)</t>
        </is>
      </c>
      <c r="E134" s="92" t="n">
        <v>228.94</v>
      </c>
      <c r="F134" s="90" t="inlineStr">
        <is>
          <t>12.20m x 18.90m</t>
        </is>
      </c>
      <c r="G134" s="93">
        <f>E134*170</f>
        <v/>
      </c>
      <c r="H134" s="90" t="n">
        <v>1</v>
      </c>
      <c r="I134" s="90" t="n">
        <v>70</v>
      </c>
      <c r="J134" s="101" t="inlineStr">
        <is>
          <t>Disponible</t>
        </is>
      </c>
    </row>
    <row r="135" ht="20" customHeight="1">
      <c r="A135" s="95" t="inlineStr">
        <is>
          <t>L134</t>
        </is>
      </c>
      <c r="B135" s="96" t="inlineStr">
        <is>
          <t>Lote 134</t>
        </is>
      </c>
      <c r="C135" s="95" t="inlineStr">
        <is>
          <t>M13</t>
        </is>
      </c>
      <c r="D135" s="96" t="inlineStr">
        <is>
          <t>Lote Premium (Oasis)</t>
        </is>
      </c>
      <c r="E135" s="97" t="n">
        <v>229.1</v>
      </c>
      <c r="F135" s="95" t="inlineStr">
        <is>
          <t>12.22m x 18.93m</t>
        </is>
      </c>
      <c r="G135" s="98">
        <f>E135*170</f>
        <v/>
      </c>
      <c r="H135" s="95" t="n">
        <v>1</v>
      </c>
      <c r="I135" s="95" t="n">
        <v>78</v>
      </c>
      <c r="J135" s="101" t="inlineStr">
        <is>
          <t>Disponible</t>
        </is>
      </c>
    </row>
    <row r="136" ht="20" customHeight="1">
      <c r="A136" s="90" t="inlineStr">
        <is>
          <t>L135</t>
        </is>
      </c>
      <c r="B136" s="91" t="inlineStr">
        <is>
          <t>Lote 135</t>
        </is>
      </c>
      <c r="C136" s="90" t="inlineStr">
        <is>
          <t>M13</t>
        </is>
      </c>
      <c r="D136" s="91" t="inlineStr">
        <is>
          <t>Lote Premium (Oasis)</t>
        </is>
      </c>
      <c r="E136" s="92" t="n">
        <v>229.1</v>
      </c>
      <c r="F136" s="90" t="inlineStr">
        <is>
          <t>12.22m x 18.98m</t>
        </is>
      </c>
      <c r="G136" s="93">
        <f>E136*170</f>
        <v/>
      </c>
      <c r="H136" s="90" t="n">
        <v>1</v>
      </c>
      <c r="I136" s="90" t="n">
        <v>87</v>
      </c>
      <c r="J136" s="101" t="inlineStr">
        <is>
          <t>Disponible</t>
        </is>
      </c>
    </row>
    <row r="137" ht="20" customHeight="1">
      <c r="A137" s="95" t="inlineStr">
        <is>
          <t>L136</t>
        </is>
      </c>
      <c r="B137" s="96" t="inlineStr">
        <is>
          <t>Lote 136</t>
        </is>
      </c>
      <c r="C137" s="95" t="inlineStr">
        <is>
          <t>M13</t>
        </is>
      </c>
      <c r="D137" s="96" t="inlineStr">
        <is>
          <t>Lote Premium (Oasis)</t>
        </is>
      </c>
      <c r="E137" s="97" t="n">
        <v>229.42</v>
      </c>
      <c r="F137" s="95" t="inlineStr">
        <is>
          <t>12.22m x 19.05m</t>
        </is>
      </c>
      <c r="G137" s="98">
        <f>E137*170</f>
        <v/>
      </c>
      <c r="H137" s="95" t="n">
        <v>3</v>
      </c>
      <c r="I137" s="95" t="n">
        <v>97</v>
      </c>
      <c r="J137" s="101" t="inlineStr">
        <is>
          <t>Disponible</t>
        </is>
      </c>
    </row>
    <row r="138" ht="20" customHeight="1">
      <c r="A138" s="90" t="inlineStr">
        <is>
          <t>L137</t>
        </is>
      </c>
      <c r="B138" s="91" t="inlineStr">
        <is>
          <t>Lote 137</t>
        </is>
      </c>
      <c r="C138" s="90" t="inlineStr">
        <is>
          <t>M13</t>
        </is>
      </c>
      <c r="D138" s="91" t="inlineStr">
        <is>
          <t>Lote Premium (Oasis)</t>
        </is>
      </c>
      <c r="E138" s="92" t="n">
        <v>230.1</v>
      </c>
      <c r="F138" s="90" t="inlineStr">
        <is>
          <t>12.22m x 19.15m</t>
        </is>
      </c>
      <c r="G138" s="93">
        <f>E138*170</f>
        <v/>
      </c>
      <c r="H138" s="90" t="n">
        <v>5</v>
      </c>
      <c r="I138" s="90" t="n">
        <v>107</v>
      </c>
      <c r="J138" s="101" t="inlineStr">
        <is>
          <t>Separado</t>
        </is>
      </c>
    </row>
    <row r="139" ht="20" customHeight="1">
      <c r="A139" s="95" t="inlineStr">
        <is>
          <t>L138</t>
        </is>
      </c>
      <c r="B139" s="96" t="inlineStr">
        <is>
          <t>Lote 138</t>
        </is>
      </c>
      <c r="C139" s="95" t="inlineStr">
        <is>
          <t>M14</t>
        </is>
      </c>
      <c r="D139" s="96" t="inlineStr">
        <is>
          <t>Lote Premium (Oasis)</t>
        </is>
      </c>
      <c r="E139" s="97" t="n">
        <v>230.01</v>
      </c>
      <c r="F139" s="95" t="inlineStr">
        <is>
          <t>12.09m x 19.29m</t>
        </is>
      </c>
      <c r="G139" s="98">
        <f>E139*170</f>
        <v/>
      </c>
      <c r="H139" s="95" t="n">
        <v>8</v>
      </c>
      <c r="I139" s="95" t="n">
        <v>122</v>
      </c>
      <c r="J139" s="101" t="inlineStr">
        <is>
          <t>Disponible</t>
        </is>
      </c>
    </row>
    <row r="140" ht="20" customHeight="1">
      <c r="A140" s="90" t="inlineStr">
        <is>
          <t>L139</t>
        </is>
      </c>
      <c r="B140" s="91" t="inlineStr">
        <is>
          <t>Lote 139</t>
        </is>
      </c>
      <c r="C140" s="90" t="inlineStr">
        <is>
          <t>M14</t>
        </is>
      </c>
      <c r="D140" s="91" t="inlineStr">
        <is>
          <t>Lote Premium (Oasis)</t>
        </is>
      </c>
      <c r="E140" s="92" t="n">
        <v>232.13</v>
      </c>
      <c r="F140" s="90" t="inlineStr">
        <is>
          <t>12.10m x 19.34m</t>
        </is>
      </c>
      <c r="G140" s="93">
        <f>E140*170</f>
        <v/>
      </c>
      <c r="H140" s="90" t="n">
        <v>8</v>
      </c>
      <c r="I140" s="90" t="n">
        <v>133</v>
      </c>
      <c r="J140" s="101" t="inlineStr">
        <is>
          <t>Disponible</t>
        </is>
      </c>
    </row>
    <row r="141" ht="20" customHeight="1">
      <c r="A141" s="95" t="inlineStr">
        <is>
          <t>L140</t>
        </is>
      </c>
      <c r="B141" s="96" t="inlineStr">
        <is>
          <t>Lote 140</t>
        </is>
      </c>
      <c r="C141" s="95" t="inlineStr">
        <is>
          <t>M14</t>
        </is>
      </c>
      <c r="D141" s="96" t="inlineStr">
        <is>
          <t>Lote Premium (Oasis)</t>
        </is>
      </c>
      <c r="E141" s="97" t="n">
        <v>232.44</v>
      </c>
      <c r="F141" s="95" t="inlineStr">
        <is>
          <t>12.10m x 19.37m</t>
        </is>
      </c>
      <c r="G141" s="98">
        <f>E141*170</f>
        <v/>
      </c>
      <c r="H141" s="95" t="n">
        <v>8</v>
      </c>
      <c r="I141" s="95" t="n">
        <v>144</v>
      </c>
      <c r="J141" s="101" t="inlineStr">
        <is>
          <t>Disponible</t>
        </is>
      </c>
    </row>
    <row r="142" ht="20" customHeight="1">
      <c r="A142" s="90" t="inlineStr">
        <is>
          <t>L141</t>
        </is>
      </c>
      <c r="B142" s="91" t="inlineStr">
        <is>
          <t>Lote 141</t>
        </is>
      </c>
      <c r="C142" s="90" t="inlineStr">
        <is>
          <t>M14</t>
        </is>
      </c>
      <c r="D142" s="91" t="inlineStr">
        <is>
          <t>Lote Premium (Oasis)</t>
        </is>
      </c>
      <c r="E142" s="92" t="n">
        <v>232.75</v>
      </c>
      <c r="F142" s="90" t="inlineStr">
        <is>
          <t>12.10m x 19.39m</t>
        </is>
      </c>
      <c r="G142" s="93">
        <f>E142*170</f>
        <v/>
      </c>
      <c r="H142" s="90" t="n">
        <v>8</v>
      </c>
      <c r="I142" s="90" t="n">
        <v>145</v>
      </c>
      <c r="J142" s="101" t="inlineStr">
        <is>
          <t>Disponible</t>
        </is>
      </c>
    </row>
    <row r="143" ht="20" customHeight="1">
      <c r="A143" s="95" t="inlineStr">
        <is>
          <t>L142</t>
        </is>
      </c>
      <c r="B143" s="96" t="inlineStr">
        <is>
          <t>Lote 142</t>
        </is>
      </c>
      <c r="C143" s="95" t="inlineStr">
        <is>
          <t>M14</t>
        </is>
      </c>
      <c r="D143" s="96" t="inlineStr">
        <is>
          <t>Lote Premium (Oasis)</t>
        </is>
      </c>
      <c r="E143" s="97" t="n">
        <v>233.07</v>
      </c>
      <c r="F143" s="95" t="inlineStr">
        <is>
          <t>12.10m x 19.42m</t>
        </is>
      </c>
      <c r="G143" s="98">
        <f>E143*170</f>
        <v/>
      </c>
      <c r="H143" s="95" t="n">
        <v>8</v>
      </c>
      <c r="I143" s="95" t="n">
        <v>145</v>
      </c>
      <c r="J143" s="101" t="inlineStr">
        <is>
          <t>Disponible</t>
        </is>
      </c>
    </row>
    <row r="144" ht="20" customHeight="1">
      <c r="A144" s="90" t="inlineStr">
        <is>
          <t>L143</t>
        </is>
      </c>
      <c r="B144" s="91" t="inlineStr">
        <is>
          <t>Lote 143</t>
        </is>
      </c>
      <c r="C144" s="90" t="inlineStr">
        <is>
          <t>M14</t>
        </is>
      </c>
      <c r="D144" s="91" t="inlineStr">
        <is>
          <t>Lote Premium (Oasis)</t>
        </is>
      </c>
      <c r="E144" s="92" t="n">
        <v>233.39</v>
      </c>
      <c r="F144" s="90" t="inlineStr">
        <is>
          <t>12.10m x 19.45m</t>
        </is>
      </c>
      <c r="G144" s="93">
        <f>E144*170</f>
        <v/>
      </c>
      <c r="H144" s="90" t="n">
        <v>8</v>
      </c>
      <c r="I144" s="90" t="n">
        <v>145</v>
      </c>
      <c r="J144" s="101" t="inlineStr">
        <is>
          <t>Disponible</t>
        </is>
      </c>
    </row>
    <row r="145" ht="20" customHeight="1">
      <c r="A145" s="95" t="inlineStr">
        <is>
          <t>L144</t>
        </is>
      </c>
      <c r="B145" s="96" t="inlineStr">
        <is>
          <t>Lote 144</t>
        </is>
      </c>
      <c r="C145" s="95" t="inlineStr">
        <is>
          <t>M14</t>
        </is>
      </c>
      <c r="D145" s="96" t="inlineStr">
        <is>
          <t>Lote Premium (Oasis)</t>
        </is>
      </c>
      <c r="E145" s="97" t="n">
        <v>233.71</v>
      </c>
      <c r="F145" s="95" t="inlineStr">
        <is>
          <t>12.10m x 19.47m</t>
        </is>
      </c>
      <c r="G145" s="98">
        <f>E145*170</f>
        <v/>
      </c>
      <c r="H145" s="95" t="n">
        <v>8</v>
      </c>
      <c r="I145" s="95" t="n">
        <v>145</v>
      </c>
      <c r="J145" s="101" t="inlineStr">
        <is>
          <t>Disponible</t>
        </is>
      </c>
    </row>
    <row r="146" ht="20" customHeight="1">
      <c r="A146" s="90" t="inlineStr">
        <is>
          <t>L145</t>
        </is>
      </c>
      <c r="B146" s="91" t="inlineStr">
        <is>
          <t>Lote 145</t>
        </is>
      </c>
      <c r="C146" s="90" t="inlineStr">
        <is>
          <t>M14</t>
        </is>
      </c>
      <c r="D146" s="91" t="inlineStr">
        <is>
          <t>Lote Premium (Oasis)</t>
        </is>
      </c>
      <c r="E146" s="92" t="n">
        <v>234.02</v>
      </c>
      <c r="F146" s="90" t="inlineStr">
        <is>
          <t>12.10m x 19.50m</t>
        </is>
      </c>
      <c r="G146" s="93">
        <f>E146*170</f>
        <v/>
      </c>
      <c r="H146" s="90" t="n">
        <v>8</v>
      </c>
      <c r="I146" s="90" t="n">
        <v>145</v>
      </c>
      <c r="J146" s="101" t="inlineStr">
        <is>
          <t>Disponible</t>
        </is>
      </c>
    </row>
    <row r="147" ht="20" customHeight="1">
      <c r="A147" s="95" t="inlineStr">
        <is>
          <t>L146</t>
        </is>
      </c>
      <c r="B147" s="96" t="inlineStr">
        <is>
          <t>Lote 146</t>
        </is>
      </c>
      <c r="C147" s="95" t="inlineStr">
        <is>
          <t>M14</t>
        </is>
      </c>
      <c r="D147" s="96" t="inlineStr">
        <is>
          <t>Lote Premium (Oasis)</t>
        </is>
      </c>
      <c r="E147" s="97" t="n">
        <v>234.33</v>
      </c>
      <c r="F147" s="95" t="inlineStr">
        <is>
          <t>12.10m x 19.52m</t>
        </is>
      </c>
      <c r="G147" s="98">
        <f>E147*170</f>
        <v/>
      </c>
      <c r="H147" s="95" t="n">
        <v>8</v>
      </c>
      <c r="I147" s="95" t="n">
        <v>145</v>
      </c>
      <c r="J147" s="101" t="inlineStr">
        <is>
          <t>Disponible</t>
        </is>
      </c>
    </row>
    <row r="148" ht="20" customHeight="1">
      <c r="A148" s="90" t="inlineStr">
        <is>
          <t>L147</t>
        </is>
      </c>
      <c r="B148" s="91" t="inlineStr">
        <is>
          <t>Lote 147</t>
        </is>
      </c>
      <c r="C148" s="90" t="inlineStr">
        <is>
          <t>M14</t>
        </is>
      </c>
      <c r="D148" s="91" t="inlineStr">
        <is>
          <t>Lote Premium (Oasis)</t>
        </is>
      </c>
      <c r="E148" s="92" t="n">
        <v>234.64</v>
      </c>
      <c r="F148" s="90" t="inlineStr">
        <is>
          <t>12.10m x 19.55m</t>
        </is>
      </c>
      <c r="G148" s="93">
        <f>E148*170</f>
        <v/>
      </c>
      <c r="H148" s="90" t="n">
        <v>9</v>
      </c>
      <c r="I148" s="90" t="n">
        <v>133</v>
      </c>
      <c r="J148" s="101" t="inlineStr">
        <is>
          <t>Disponible</t>
        </is>
      </c>
    </row>
    <row r="149" ht="20" customHeight="1">
      <c r="A149" s="95" t="inlineStr">
        <is>
          <t>L148</t>
        </is>
      </c>
      <c r="B149" s="96" t="inlineStr">
        <is>
          <t>Lote 148</t>
        </is>
      </c>
      <c r="C149" s="95" t="inlineStr">
        <is>
          <t>M15</t>
        </is>
      </c>
      <c r="D149" s="96" t="inlineStr">
        <is>
          <t>Lote Premium (Oasis)</t>
        </is>
      </c>
      <c r="E149" s="97" t="n">
        <v>244.74</v>
      </c>
      <c r="F149" s="95" t="inlineStr">
        <is>
          <t>12.55m x 19.55m</t>
        </is>
      </c>
      <c r="G149" s="98">
        <f>E149*170</f>
        <v/>
      </c>
      <c r="H149" s="95" t="n">
        <v>8</v>
      </c>
      <c r="I149" s="95" t="n">
        <v>116</v>
      </c>
      <c r="J149" s="101" t="inlineStr">
        <is>
          <t>Disponible</t>
        </is>
      </c>
    </row>
    <row r="150" ht="20" customHeight="1">
      <c r="A150" s="90" t="inlineStr">
        <is>
          <t>L149</t>
        </is>
      </c>
      <c r="B150" s="91" t="inlineStr">
        <is>
          <t>Lote 149</t>
        </is>
      </c>
      <c r="C150" s="90" t="inlineStr">
        <is>
          <t>M15</t>
        </is>
      </c>
      <c r="D150" s="91" t="inlineStr">
        <is>
          <t>Lote Premium (Oasis)</t>
        </is>
      </c>
      <c r="E150" s="92" t="n">
        <v>244.53</v>
      </c>
      <c r="F150" s="90" t="inlineStr">
        <is>
          <t>12.56m x 19.51m</t>
        </is>
      </c>
      <c r="G150" s="93">
        <f>E150*170</f>
        <v/>
      </c>
      <c r="H150" s="90" t="n">
        <v>6</v>
      </c>
      <c r="I150" s="90" t="n">
        <v>103</v>
      </c>
      <c r="J150" s="101" t="inlineStr">
        <is>
          <t>Disponible</t>
        </is>
      </c>
    </row>
    <row r="151" ht="20" customHeight="1">
      <c r="A151" s="95" t="inlineStr">
        <is>
          <t>L150</t>
        </is>
      </c>
      <c r="B151" s="96" t="inlineStr">
        <is>
          <t>Lote 150</t>
        </is>
      </c>
      <c r="C151" s="95" t="inlineStr">
        <is>
          <t>M15</t>
        </is>
      </c>
      <c r="D151" s="96" t="inlineStr">
        <is>
          <t>Lote Premium (Oasis)</t>
        </is>
      </c>
      <c r="E151" s="97" t="n">
        <v>243.68</v>
      </c>
      <c r="F151" s="95" t="inlineStr">
        <is>
          <t>12.56m x 19.45m</t>
        </is>
      </c>
      <c r="G151" s="98">
        <f>E151*170</f>
        <v/>
      </c>
      <c r="H151" s="95" t="n">
        <v>4</v>
      </c>
      <c r="I151" s="95" t="n">
        <v>91</v>
      </c>
      <c r="J151" s="100" t="inlineStr">
        <is>
          <t>Vendido</t>
        </is>
      </c>
    </row>
    <row r="152" ht="20" customHeight="1">
      <c r="A152" s="90" t="inlineStr">
        <is>
          <t>L151</t>
        </is>
      </c>
      <c r="B152" s="91" t="inlineStr">
        <is>
          <t>Lote 151</t>
        </is>
      </c>
      <c r="C152" s="90" t="inlineStr">
        <is>
          <t>M15</t>
        </is>
      </c>
      <c r="D152" s="91" t="inlineStr">
        <is>
          <t>Lote Premium (Oasis)</t>
        </is>
      </c>
      <c r="E152" s="92" t="n">
        <v>242.92</v>
      </c>
      <c r="F152" s="90" t="inlineStr">
        <is>
          <t>12.56m x 19.42m</t>
        </is>
      </c>
      <c r="G152" s="93">
        <f>E152*170</f>
        <v/>
      </c>
      <c r="H152" s="90" t="n">
        <v>3</v>
      </c>
      <c r="I152" s="90" t="n">
        <v>78</v>
      </c>
      <c r="J152" s="101" t="inlineStr">
        <is>
          <t>Disponible</t>
        </is>
      </c>
    </row>
    <row r="153" ht="20" customHeight="1">
      <c r="A153" s="95" t="inlineStr">
        <is>
          <t>L152</t>
        </is>
      </c>
      <c r="B153" s="96" t="inlineStr">
        <is>
          <t>Lote 152</t>
        </is>
      </c>
      <c r="C153" s="95" t="inlineStr">
        <is>
          <t>M15</t>
        </is>
      </c>
      <c r="D153" s="96" t="inlineStr">
        <is>
          <t>Lote Premium (Oasis)</t>
        </is>
      </c>
      <c r="E153" s="97" t="n">
        <v>242.6</v>
      </c>
      <c r="F153" s="95" t="inlineStr">
        <is>
          <t>12.57m x 19.41m</t>
        </is>
      </c>
      <c r="G153" s="98">
        <f>E153*170</f>
        <v/>
      </c>
      <c r="H153" s="95" t="n">
        <v>3</v>
      </c>
      <c r="I153" s="95" t="n">
        <v>65</v>
      </c>
      <c r="J153" s="101" t="inlineStr">
        <is>
          <t>Disponible</t>
        </is>
      </c>
    </row>
    <row r="154" ht="20" customHeight="1">
      <c r="A154" s="90" t="inlineStr">
        <is>
          <t>L153</t>
        </is>
      </c>
      <c r="B154" s="91" t="inlineStr">
        <is>
          <t>Lote 153</t>
        </is>
      </c>
      <c r="C154" s="90" t="inlineStr">
        <is>
          <t>M15</t>
        </is>
      </c>
      <c r="D154" s="91" t="inlineStr">
        <is>
          <t>Lote Premium (Oasis)</t>
        </is>
      </c>
      <c r="E154" s="92" t="n">
        <v>242.25</v>
      </c>
      <c r="F154" s="90" t="inlineStr">
        <is>
          <t>12.57m x 19.43m</t>
        </is>
      </c>
      <c r="G154" s="93">
        <f>E154*170</f>
        <v/>
      </c>
      <c r="H154" s="90" t="n">
        <v>3</v>
      </c>
      <c r="I154" s="90" t="n">
        <v>53</v>
      </c>
      <c r="J154" s="101" t="inlineStr">
        <is>
          <t>Separado</t>
        </is>
      </c>
    </row>
    <row r="155" ht="20" customHeight="1">
      <c r="A155" s="95" t="inlineStr">
        <is>
          <t>L154</t>
        </is>
      </c>
      <c r="B155" s="96" t="inlineStr">
        <is>
          <t>Lote 154</t>
        </is>
      </c>
      <c r="C155" s="95" t="inlineStr">
        <is>
          <t>M15</t>
        </is>
      </c>
      <c r="D155" s="96" t="inlineStr">
        <is>
          <t>Lote Premium (Oasis)</t>
        </is>
      </c>
      <c r="E155" s="97" t="n">
        <v>242.2</v>
      </c>
      <c r="F155" s="95" t="inlineStr">
        <is>
          <t>12.57m x 19.47m</t>
        </is>
      </c>
      <c r="G155" s="98">
        <f>E155*170</f>
        <v/>
      </c>
      <c r="H155" s="95" t="n">
        <v>3</v>
      </c>
      <c r="I155" s="95" t="n">
        <v>40</v>
      </c>
      <c r="J155" s="101" t="inlineStr">
        <is>
          <t>Disponible</t>
        </is>
      </c>
    </row>
    <row r="156" ht="20" customHeight="1">
      <c r="A156" s="90" t="inlineStr">
        <is>
          <t>L155</t>
        </is>
      </c>
      <c r="B156" s="91" t="inlineStr">
        <is>
          <t>Lote 155</t>
        </is>
      </c>
      <c r="C156" s="90" t="inlineStr">
        <is>
          <t>M15</t>
        </is>
      </c>
      <c r="D156" s="91" t="inlineStr">
        <is>
          <t>Lote Premium (Oasis)</t>
        </is>
      </c>
      <c r="E156" s="92" t="n">
        <v>242.49</v>
      </c>
      <c r="F156" s="90" t="inlineStr">
        <is>
          <t>12.57m x 19.55m</t>
        </is>
      </c>
      <c r="G156" s="93">
        <f>E156*170</f>
        <v/>
      </c>
      <c r="H156" s="90" t="n">
        <v>4</v>
      </c>
      <c r="I156" s="90" t="n">
        <v>28</v>
      </c>
      <c r="J156" s="101" t="inlineStr">
        <is>
          <t>Disponible</t>
        </is>
      </c>
    </row>
    <row r="157" ht="20" customHeight="1">
      <c r="A157" s="95" t="inlineStr">
        <is>
          <t>L156</t>
        </is>
      </c>
      <c r="B157" s="96" t="inlineStr">
        <is>
          <t>Lote 156</t>
        </is>
      </c>
      <c r="C157" s="95" t="inlineStr">
        <is>
          <t>M15</t>
        </is>
      </c>
      <c r="D157" s="96" t="inlineStr">
        <is>
          <t>Lote Premium (Oasis)</t>
        </is>
      </c>
      <c r="E157" s="97" t="n">
        <v>243.17</v>
      </c>
      <c r="F157" s="95" t="inlineStr">
        <is>
          <t>12.57m x 19.64m</t>
        </is>
      </c>
      <c r="G157" s="98">
        <f>E157*170</f>
        <v/>
      </c>
      <c r="H157" s="95" t="n">
        <v>5</v>
      </c>
      <c r="I157" s="95" t="n">
        <v>15</v>
      </c>
      <c r="J157" s="101" t="inlineStr">
        <is>
          <t>Disponible</t>
        </is>
      </c>
    </row>
    <row r="158" ht="20" customHeight="1">
      <c r="A158" s="90" t="inlineStr">
        <is>
          <t>L157</t>
        </is>
      </c>
      <c r="B158" s="91" t="inlineStr">
        <is>
          <t>Lote 157</t>
        </is>
      </c>
      <c r="C158" s="90" t="inlineStr">
        <is>
          <t>M16</t>
        </is>
      </c>
      <c r="D158" s="91" t="inlineStr">
        <is>
          <t>Lote Premium (Oasis)</t>
        </is>
      </c>
      <c r="E158" s="92" t="n">
        <v>229.97</v>
      </c>
      <c r="F158" s="90" t="inlineStr">
        <is>
          <t>12.20m x 18.93m</t>
        </is>
      </c>
      <c r="G158" s="93">
        <f>E158*170</f>
        <v/>
      </c>
      <c r="H158" s="90" t="n">
        <v>11</v>
      </c>
      <c r="I158" s="90" t="n">
        <v>39</v>
      </c>
      <c r="J158" s="101" t="inlineStr">
        <is>
          <t>Disponible</t>
        </is>
      </c>
    </row>
    <row r="159" ht="20" customHeight="1">
      <c r="A159" s="95" t="inlineStr">
        <is>
          <t>L158</t>
        </is>
      </c>
      <c r="B159" s="96" t="inlineStr">
        <is>
          <t>Lote 158</t>
        </is>
      </c>
      <c r="C159" s="95" t="inlineStr">
        <is>
          <t>M16</t>
        </is>
      </c>
      <c r="D159" s="96" t="inlineStr">
        <is>
          <t>Lote Premium (Oasis)</t>
        </is>
      </c>
      <c r="E159" s="97" t="n">
        <v>229.39</v>
      </c>
      <c r="F159" s="95" t="inlineStr">
        <is>
          <t>12.20m x 18.91m</t>
        </is>
      </c>
      <c r="G159" s="98">
        <f>E159*170</f>
        <v/>
      </c>
      <c r="H159" s="95" t="n">
        <v>11</v>
      </c>
      <c r="I159" s="95" t="n">
        <v>49</v>
      </c>
      <c r="J159" s="101" t="inlineStr">
        <is>
          <t>Disponible</t>
        </is>
      </c>
    </row>
    <row r="160" ht="20" customHeight="1">
      <c r="A160" s="90" t="inlineStr">
        <is>
          <t>L159</t>
        </is>
      </c>
      <c r="B160" s="91" t="inlineStr">
        <is>
          <t>Lote 159</t>
        </is>
      </c>
      <c r="C160" s="90" t="inlineStr">
        <is>
          <t>M16</t>
        </is>
      </c>
      <c r="D160" s="91" t="inlineStr">
        <is>
          <t>Lote Premium (Oasis)</t>
        </is>
      </c>
      <c r="E160" s="92" t="n">
        <v>229.03</v>
      </c>
      <c r="F160" s="90" t="inlineStr">
        <is>
          <t>12.20m x 18.90m</t>
        </is>
      </c>
      <c r="G160" s="93">
        <f>E160*170</f>
        <v/>
      </c>
      <c r="H160" s="90" t="n">
        <v>10</v>
      </c>
      <c r="I160" s="90" t="n">
        <v>59</v>
      </c>
      <c r="J160" s="101" t="inlineStr">
        <is>
          <t>Disponible</t>
        </is>
      </c>
    </row>
    <row r="161" ht="20" customHeight="1">
      <c r="A161" s="95" t="inlineStr">
        <is>
          <t>L160</t>
        </is>
      </c>
      <c r="B161" s="96" t="inlineStr">
        <is>
          <t>Lote 160</t>
        </is>
      </c>
      <c r="C161" s="95" t="inlineStr">
        <is>
          <t>M16</t>
        </is>
      </c>
      <c r="D161" s="96" t="inlineStr">
        <is>
          <t>Lote Premium (Oasis)</t>
        </is>
      </c>
      <c r="E161" s="97" t="n">
        <v>229.4</v>
      </c>
      <c r="F161" s="95" t="inlineStr">
        <is>
          <t>12.22m x 18.93m</t>
        </is>
      </c>
      <c r="G161" s="98">
        <f>E161*170</f>
        <v/>
      </c>
      <c r="H161" s="95" t="n">
        <v>10</v>
      </c>
      <c r="I161" s="95" t="n">
        <v>71</v>
      </c>
      <c r="J161" s="101" t="inlineStr">
        <is>
          <t>Disponible</t>
        </is>
      </c>
    </row>
    <row r="162" ht="20" customHeight="1">
      <c r="A162" s="90" t="inlineStr">
        <is>
          <t>L161</t>
        </is>
      </c>
      <c r="B162" s="91" t="inlineStr">
        <is>
          <t>Lote 161</t>
        </is>
      </c>
      <c r="C162" s="90" t="inlineStr">
        <is>
          <t>M16</t>
        </is>
      </c>
      <c r="D162" s="91" t="inlineStr">
        <is>
          <t>Lote Premium (Oasis)</t>
        </is>
      </c>
      <c r="E162" s="92" t="n">
        <v>229.63</v>
      </c>
      <c r="F162" s="90" t="inlineStr">
        <is>
          <t>12.22m x 18.98m</t>
        </is>
      </c>
      <c r="G162" s="93">
        <f>E162*170</f>
        <v/>
      </c>
      <c r="H162" s="90" t="n">
        <v>11</v>
      </c>
      <c r="I162" s="90" t="n">
        <v>82</v>
      </c>
      <c r="J162" s="101" t="inlineStr">
        <is>
          <t>Disponible</t>
        </is>
      </c>
    </row>
    <row r="163" ht="20" customHeight="1">
      <c r="A163" s="95" t="inlineStr">
        <is>
          <t>L162</t>
        </is>
      </c>
      <c r="B163" s="96" t="inlineStr">
        <is>
          <t>Lote 162</t>
        </is>
      </c>
      <c r="C163" s="95" t="inlineStr">
        <is>
          <t>M16</t>
        </is>
      </c>
      <c r="D163" s="96" t="inlineStr">
        <is>
          <t>Lote Premium (Oasis)</t>
        </is>
      </c>
      <c r="E163" s="97" t="n">
        <v>230.19</v>
      </c>
      <c r="F163" s="95" t="inlineStr">
        <is>
          <t>12.22m x 19.05m</t>
        </is>
      </c>
      <c r="G163" s="98">
        <f>E163*170</f>
        <v/>
      </c>
      <c r="H163" s="95" t="n">
        <v>11</v>
      </c>
      <c r="I163" s="95" t="n">
        <v>94</v>
      </c>
      <c r="J163" s="101" t="inlineStr">
        <is>
          <t>Disponible</t>
        </is>
      </c>
    </row>
    <row r="164" ht="20" customHeight="1">
      <c r="A164" s="90" t="inlineStr">
        <is>
          <t>L163</t>
        </is>
      </c>
      <c r="B164" s="91" t="inlineStr">
        <is>
          <t>Lote 163</t>
        </is>
      </c>
      <c r="C164" s="90" t="inlineStr">
        <is>
          <t>M16</t>
        </is>
      </c>
      <c r="D164" s="91" t="inlineStr">
        <is>
          <t>Lote Premium (Oasis)</t>
        </is>
      </c>
      <c r="E164" s="92" t="n">
        <v>231.06</v>
      </c>
      <c r="F164" s="90" t="inlineStr">
        <is>
          <t>12.22m x 19.15m</t>
        </is>
      </c>
      <c r="G164" s="93">
        <f>E164*170</f>
        <v/>
      </c>
      <c r="H164" s="90" t="n">
        <v>12</v>
      </c>
      <c r="I164" s="90" t="n">
        <v>106</v>
      </c>
      <c r="J164" s="101" t="inlineStr">
        <is>
          <t>Disponible</t>
        </is>
      </c>
    </row>
    <row r="165" ht="20" customHeight="1">
      <c r="A165" s="95" t="inlineStr">
        <is>
          <t>L164</t>
        </is>
      </c>
      <c r="B165" s="96" t="inlineStr">
        <is>
          <t>Lote 164</t>
        </is>
      </c>
      <c r="C165" s="95" t="inlineStr">
        <is>
          <t>M17</t>
        </is>
      </c>
      <c r="D165" s="96" t="inlineStr">
        <is>
          <t>Lote Premium (Oasis)</t>
        </is>
      </c>
      <c r="E165" s="97" t="n">
        <v>230.91</v>
      </c>
      <c r="F165" s="95" t="inlineStr">
        <is>
          <t>12.10m x 19.29m</t>
        </is>
      </c>
      <c r="G165" s="98">
        <f>E165*170</f>
        <v/>
      </c>
      <c r="H165" s="95" t="n">
        <v>13</v>
      </c>
      <c r="I165" s="95" t="n">
        <v>123</v>
      </c>
      <c r="J165" s="101" t="inlineStr">
        <is>
          <t>Disponible</t>
        </is>
      </c>
    </row>
    <row r="166" ht="20" customHeight="1">
      <c r="A166" s="90" t="inlineStr">
        <is>
          <t>L165</t>
        </is>
      </c>
      <c r="B166" s="91" t="inlineStr">
        <is>
          <t>Lote 165</t>
        </is>
      </c>
      <c r="C166" s="90" t="inlineStr">
        <is>
          <t>M17</t>
        </is>
      </c>
      <c r="D166" s="91" t="inlineStr">
        <is>
          <t>Lote Premium (Oasis)</t>
        </is>
      </c>
      <c r="E166" s="92" t="n">
        <v>232.43</v>
      </c>
      <c r="F166" s="90" t="inlineStr">
        <is>
          <t>12.10m x 19.34m</t>
        </is>
      </c>
      <c r="G166" s="93">
        <f>E166*170</f>
        <v/>
      </c>
      <c r="H166" s="90" t="n">
        <v>14</v>
      </c>
      <c r="I166" s="90" t="n">
        <v>135</v>
      </c>
      <c r="J166" s="101" t="inlineStr">
        <is>
          <t>Disponible</t>
        </is>
      </c>
    </row>
    <row r="167" ht="20" customHeight="1">
      <c r="A167" s="95" t="inlineStr">
        <is>
          <t>L166</t>
        </is>
      </c>
      <c r="B167" s="96" t="inlineStr">
        <is>
          <t>Lote 166</t>
        </is>
      </c>
      <c r="C167" s="95" t="inlineStr">
        <is>
          <t>M17</t>
        </is>
      </c>
      <c r="D167" s="96" t="inlineStr">
        <is>
          <t>Lote Premium (Oasis)</t>
        </is>
      </c>
      <c r="E167" s="97" t="n">
        <v>232.74</v>
      </c>
      <c r="F167" s="95" t="inlineStr">
        <is>
          <t>12.10m x 19.37m</t>
        </is>
      </c>
      <c r="G167" s="98">
        <f>E167*170</f>
        <v/>
      </c>
      <c r="H167" s="95" t="n">
        <v>14</v>
      </c>
      <c r="I167" s="95" t="n">
        <v>145</v>
      </c>
      <c r="J167" s="101" t="inlineStr">
        <is>
          <t>Disponible</t>
        </is>
      </c>
    </row>
    <row r="168" ht="20" customHeight="1">
      <c r="A168" s="90" t="inlineStr">
        <is>
          <t>L167</t>
        </is>
      </c>
      <c r="B168" s="91" t="inlineStr">
        <is>
          <t>Lote 167</t>
        </is>
      </c>
      <c r="C168" s="90" t="inlineStr">
        <is>
          <t>M17</t>
        </is>
      </c>
      <c r="D168" s="91" t="inlineStr">
        <is>
          <t>Lote Premium (Oasis)</t>
        </is>
      </c>
      <c r="E168" s="92" t="n">
        <v>233.05</v>
      </c>
      <c r="F168" s="90" t="inlineStr">
        <is>
          <t>12.10m x 19.39m</t>
        </is>
      </c>
      <c r="G168" s="93">
        <f>E168*170</f>
        <v/>
      </c>
      <c r="H168" s="90" t="n">
        <v>14</v>
      </c>
      <c r="I168" s="90" t="n">
        <v>145</v>
      </c>
      <c r="J168" s="101" t="inlineStr">
        <is>
          <t>Disponible</t>
        </is>
      </c>
    </row>
    <row r="169" ht="20" customHeight="1">
      <c r="A169" s="95" t="inlineStr">
        <is>
          <t>L168</t>
        </is>
      </c>
      <c r="B169" s="96" t="inlineStr">
        <is>
          <t>Lote 168</t>
        </is>
      </c>
      <c r="C169" s="95" t="inlineStr">
        <is>
          <t>M17</t>
        </is>
      </c>
      <c r="D169" s="96" t="inlineStr">
        <is>
          <t>Lote Premium (Oasis)</t>
        </is>
      </c>
      <c r="E169" s="97" t="n">
        <v>233.36</v>
      </c>
      <c r="F169" s="95" t="inlineStr">
        <is>
          <t>12.10m x 19.42m</t>
        </is>
      </c>
      <c r="G169" s="98">
        <f>E169*170</f>
        <v/>
      </c>
      <c r="H169" s="95" t="n">
        <v>14</v>
      </c>
      <c r="I169" s="95" t="n">
        <v>145</v>
      </c>
      <c r="J169" s="101" t="inlineStr">
        <is>
          <t>Disponible</t>
        </is>
      </c>
    </row>
    <row r="170" ht="20" customHeight="1">
      <c r="A170" s="90" t="inlineStr">
        <is>
          <t>L169</t>
        </is>
      </c>
      <c r="B170" s="91" t="inlineStr">
        <is>
          <t>Lote 169</t>
        </is>
      </c>
      <c r="C170" s="90" t="inlineStr">
        <is>
          <t>M17</t>
        </is>
      </c>
      <c r="D170" s="91" t="inlineStr">
        <is>
          <t>Lote Premium (Oasis)</t>
        </is>
      </c>
      <c r="E170" s="92" t="n">
        <v>233.69</v>
      </c>
      <c r="F170" s="90" t="inlineStr">
        <is>
          <t>12.10m x 19.45m</t>
        </is>
      </c>
      <c r="G170" s="93">
        <f>E170*170</f>
        <v/>
      </c>
      <c r="H170" s="90" t="n">
        <v>14</v>
      </c>
      <c r="I170" s="90" t="n">
        <v>145</v>
      </c>
      <c r="J170" s="101" t="inlineStr">
        <is>
          <t>Disponible</t>
        </is>
      </c>
    </row>
    <row r="171" ht="20" customHeight="1">
      <c r="A171" s="95" t="inlineStr">
        <is>
          <t>L170</t>
        </is>
      </c>
      <c r="B171" s="96" t="inlineStr">
        <is>
          <t>Lote 170</t>
        </is>
      </c>
      <c r="C171" s="95" t="inlineStr">
        <is>
          <t>M17</t>
        </is>
      </c>
      <c r="D171" s="96" t="inlineStr">
        <is>
          <t>Lote Premium (Oasis)</t>
        </is>
      </c>
      <c r="E171" s="97" t="n">
        <v>234</v>
      </c>
      <c r="F171" s="95" t="inlineStr">
        <is>
          <t>12.10m x 19.47m</t>
        </is>
      </c>
      <c r="G171" s="98">
        <f>E171*170</f>
        <v/>
      </c>
      <c r="H171" s="95" t="n">
        <v>14</v>
      </c>
      <c r="I171" s="95" t="n">
        <v>145</v>
      </c>
      <c r="J171" s="101" t="inlineStr">
        <is>
          <t>Disponible</t>
        </is>
      </c>
    </row>
    <row r="172" ht="20" customHeight="1">
      <c r="A172" s="90" t="inlineStr">
        <is>
          <t>L171</t>
        </is>
      </c>
      <c r="B172" s="91" t="inlineStr">
        <is>
          <t>Lote 171</t>
        </is>
      </c>
      <c r="C172" s="90" t="inlineStr">
        <is>
          <t>M17</t>
        </is>
      </c>
      <c r="D172" s="91" t="inlineStr">
        <is>
          <t>Lote Premium (Oasis)</t>
        </is>
      </c>
      <c r="E172" s="92" t="n">
        <v>234.32</v>
      </c>
      <c r="F172" s="90" t="inlineStr">
        <is>
          <t>12.10m x 19.50m</t>
        </is>
      </c>
      <c r="G172" s="93">
        <f>E172*170</f>
        <v/>
      </c>
      <c r="H172" s="90" t="n">
        <v>14</v>
      </c>
      <c r="I172" s="90" t="n">
        <v>145</v>
      </c>
      <c r="J172" s="101" t="inlineStr">
        <is>
          <t>Disponible</t>
        </is>
      </c>
    </row>
    <row r="173" ht="20" customHeight="1">
      <c r="A173" s="95" t="inlineStr">
        <is>
          <t>L172</t>
        </is>
      </c>
      <c r="B173" s="96" t="inlineStr">
        <is>
          <t>Lote 172</t>
        </is>
      </c>
      <c r="C173" s="95" t="inlineStr">
        <is>
          <t>M17</t>
        </is>
      </c>
      <c r="D173" s="96" t="inlineStr">
        <is>
          <t>Lote Premium (Oasis)</t>
        </is>
      </c>
      <c r="E173" s="97" t="n">
        <v>234.63</v>
      </c>
      <c r="F173" s="95" t="inlineStr">
        <is>
          <t>12.10m x 19.52m</t>
        </is>
      </c>
      <c r="G173" s="98">
        <f>E173*170</f>
        <v/>
      </c>
      <c r="H173" s="95" t="n">
        <v>14</v>
      </c>
      <c r="I173" s="95" t="n">
        <v>145</v>
      </c>
      <c r="J173" s="101" t="inlineStr">
        <is>
          <t>Disponible</t>
        </is>
      </c>
    </row>
    <row r="174" ht="20" customHeight="1">
      <c r="A174" s="90" t="inlineStr">
        <is>
          <t>L173</t>
        </is>
      </c>
      <c r="B174" s="91" t="inlineStr">
        <is>
          <t>Lote 173</t>
        </is>
      </c>
      <c r="C174" s="90" t="inlineStr">
        <is>
          <t>M17</t>
        </is>
      </c>
      <c r="D174" s="91" t="inlineStr">
        <is>
          <t>Lote Premium (Oasis)</t>
        </is>
      </c>
      <c r="E174" s="92" t="n">
        <v>234.94</v>
      </c>
      <c r="F174" s="90" t="inlineStr">
        <is>
          <t>12.10m x 19.55m</t>
        </is>
      </c>
      <c r="G174" s="93">
        <f>E174*170</f>
        <v/>
      </c>
      <c r="H174" s="90" t="n">
        <v>14</v>
      </c>
      <c r="I174" s="90" t="n">
        <v>133</v>
      </c>
      <c r="J174" s="101" t="inlineStr">
        <is>
          <t>Disponible</t>
        </is>
      </c>
    </row>
    <row r="175" ht="20" customHeight="1">
      <c r="A175" s="95" t="inlineStr">
        <is>
          <t>L174</t>
        </is>
      </c>
      <c r="B175" s="96" t="inlineStr">
        <is>
          <t>Lote 174</t>
        </is>
      </c>
      <c r="C175" s="95" t="inlineStr">
        <is>
          <t>M18</t>
        </is>
      </c>
      <c r="D175" s="96" t="inlineStr">
        <is>
          <t>Lote Premium (Oasis)</t>
        </is>
      </c>
      <c r="E175" s="97" t="n">
        <v>244.83</v>
      </c>
      <c r="F175" s="95" t="inlineStr">
        <is>
          <t>12.57m x 19.55m</t>
        </is>
      </c>
      <c r="G175" s="98">
        <f>E175*170</f>
        <v/>
      </c>
      <c r="H175" s="95" t="n">
        <v>14</v>
      </c>
      <c r="I175" s="95" t="n">
        <v>116</v>
      </c>
      <c r="J175" s="101" t="inlineStr">
        <is>
          <t>Disponible</t>
        </is>
      </c>
    </row>
    <row r="176" ht="20" customHeight="1">
      <c r="A176" s="90" t="inlineStr">
        <is>
          <t>L175</t>
        </is>
      </c>
      <c r="B176" s="91" t="inlineStr">
        <is>
          <t>Lote 175</t>
        </is>
      </c>
      <c r="C176" s="90" t="inlineStr">
        <is>
          <t>M18</t>
        </is>
      </c>
      <c r="D176" s="91" t="inlineStr">
        <is>
          <t>Lote Premium (Oasis)</t>
        </is>
      </c>
      <c r="E176" s="92" t="n">
        <v>244.47</v>
      </c>
      <c r="F176" s="90" t="inlineStr">
        <is>
          <t>12.57m x 19.51m</t>
        </is>
      </c>
      <c r="G176" s="93">
        <f>E176*170</f>
        <v/>
      </c>
      <c r="H176" s="90" t="n">
        <v>13</v>
      </c>
      <c r="I176" s="90" t="n">
        <v>103</v>
      </c>
      <c r="J176" s="101" t="inlineStr">
        <is>
          <t>Disponible</t>
        </is>
      </c>
    </row>
    <row r="177" ht="20" customHeight="1">
      <c r="A177" s="95" t="inlineStr">
        <is>
          <t>L176</t>
        </is>
      </c>
      <c r="B177" s="96" t="inlineStr">
        <is>
          <t>Lote 176</t>
        </is>
      </c>
      <c r="C177" s="95" t="inlineStr">
        <is>
          <t>M18</t>
        </is>
      </c>
      <c r="D177" s="96" t="inlineStr">
        <is>
          <t>Lote Premium (Oasis)</t>
        </is>
      </c>
      <c r="E177" s="97" t="n">
        <v>243.65</v>
      </c>
      <c r="F177" s="95" t="inlineStr">
        <is>
          <t>12.57m x 19.45m</t>
        </is>
      </c>
      <c r="G177" s="98">
        <f>E177*170</f>
        <v/>
      </c>
      <c r="H177" s="95" t="n">
        <v>12</v>
      </c>
      <c r="I177" s="95" t="n">
        <v>91</v>
      </c>
      <c r="J177" s="101" t="inlineStr">
        <is>
          <t>Disponible</t>
        </is>
      </c>
    </row>
    <row r="178" ht="20" customHeight="1">
      <c r="A178" s="90" t="inlineStr">
        <is>
          <t>L177</t>
        </is>
      </c>
      <c r="B178" s="91" t="inlineStr">
        <is>
          <t>Lote 177</t>
        </is>
      </c>
      <c r="C178" s="90" t="inlineStr">
        <is>
          <t>M18</t>
        </is>
      </c>
      <c r="D178" s="91" t="inlineStr">
        <is>
          <t>Lote Premium (Oasis)</t>
        </is>
      </c>
      <c r="E178" s="92" t="n">
        <v>242.98</v>
      </c>
      <c r="F178" s="90" t="inlineStr">
        <is>
          <t>12.57m x 19.42m</t>
        </is>
      </c>
      <c r="G178" s="93">
        <f>E178*170</f>
        <v/>
      </c>
      <c r="H178" s="90" t="n">
        <v>11</v>
      </c>
      <c r="I178" s="90" t="n">
        <v>78</v>
      </c>
      <c r="J178" s="101" t="inlineStr">
        <is>
          <t>Disponible</t>
        </is>
      </c>
    </row>
    <row r="179" ht="20" customHeight="1">
      <c r="A179" s="95" t="inlineStr">
        <is>
          <t>L178</t>
        </is>
      </c>
      <c r="B179" s="96" t="inlineStr">
        <is>
          <t>Lote 178</t>
        </is>
      </c>
      <c r="C179" s="95" t="inlineStr">
        <is>
          <t>M18</t>
        </is>
      </c>
      <c r="D179" s="96" t="inlineStr">
        <is>
          <t>Lote Premium (Oasis)</t>
        </is>
      </c>
      <c r="E179" s="97" t="n">
        <v>242.79</v>
      </c>
      <c r="F179" s="95" t="inlineStr">
        <is>
          <t>12.58m x 19.41m</t>
        </is>
      </c>
      <c r="G179" s="98">
        <f>E179*170</f>
        <v/>
      </c>
      <c r="H179" s="95" t="n">
        <v>11</v>
      </c>
      <c r="I179" s="95" t="n">
        <v>65</v>
      </c>
      <c r="J179" s="101" t="inlineStr">
        <is>
          <t>Disponible</t>
        </is>
      </c>
    </row>
    <row r="180" ht="20" customHeight="1">
      <c r="A180" s="90" t="inlineStr">
        <is>
          <t>L179</t>
        </is>
      </c>
      <c r="B180" s="91" t="inlineStr">
        <is>
          <t>Lote 179</t>
        </is>
      </c>
      <c r="C180" s="90" t="inlineStr">
        <is>
          <t>M18</t>
        </is>
      </c>
      <c r="D180" s="91" t="inlineStr">
        <is>
          <t>Lote Premium (Oasis)</t>
        </is>
      </c>
      <c r="E180" s="92" t="n">
        <v>242.64</v>
      </c>
      <c r="F180" s="90" t="inlineStr">
        <is>
          <t>12.58m x 19.43m</t>
        </is>
      </c>
      <c r="G180" s="93">
        <f>E180*170</f>
        <v/>
      </c>
      <c r="H180" s="90" t="n">
        <v>11</v>
      </c>
      <c r="I180" s="90" t="n">
        <v>53</v>
      </c>
      <c r="J180" s="101" t="inlineStr">
        <is>
          <t>Disponible</t>
        </is>
      </c>
    </row>
    <row r="181" ht="20" customHeight="1">
      <c r="A181" s="95" t="inlineStr">
        <is>
          <t>L180</t>
        </is>
      </c>
      <c r="B181" s="96" t="inlineStr">
        <is>
          <t>Lote 180</t>
        </is>
      </c>
      <c r="C181" s="95" t="inlineStr">
        <is>
          <t>M18</t>
        </is>
      </c>
      <c r="D181" s="96" t="inlineStr">
        <is>
          <t>Lote Premium (Oasis)</t>
        </is>
      </c>
      <c r="E181" s="97" t="n">
        <v>242.83</v>
      </c>
      <c r="F181" s="95" t="inlineStr">
        <is>
          <t>12.58m x 19.47m</t>
        </is>
      </c>
      <c r="G181" s="98">
        <f>E181*170</f>
        <v/>
      </c>
      <c r="H181" s="95" t="n">
        <v>11</v>
      </c>
      <c r="I181" s="95" t="n">
        <v>40</v>
      </c>
      <c r="J181" s="101" t="inlineStr">
        <is>
          <t>Disponible</t>
        </is>
      </c>
    </row>
    <row r="182" ht="20" customHeight="1">
      <c r="A182" s="90" t="inlineStr">
        <is>
          <t>L181</t>
        </is>
      </c>
      <c r="B182" s="91" t="inlineStr">
        <is>
          <t>Lote 181</t>
        </is>
      </c>
      <c r="C182" s="90" t="inlineStr">
        <is>
          <t>M18</t>
        </is>
      </c>
      <c r="D182" s="91" t="inlineStr">
        <is>
          <t>Lote Premium (Oasis)</t>
        </is>
      </c>
      <c r="E182" s="92" t="n">
        <v>243.38</v>
      </c>
      <c r="F182" s="90" t="inlineStr">
        <is>
          <t>12.58m x 19.55m</t>
        </is>
      </c>
      <c r="G182" s="93">
        <f>E182*170</f>
        <v/>
      </c>
      <c r="H182" s="90" t="n">
        <v>11</v>
      </c>
      <c r="I182" s="90" t="n">
        <v>28</v>
      </c>
      <c r="J182" s="101" t="inlineStr">
        <is>
          <t>Disponible</t>
        </is>
      </c>
    </row>
    <row r="183" ht="20" customHeight="1">
      <c r="A183" s="95" t="inlineStr">
        <is>
          <t>L182</t>
        </is>
      </c>
      <c r="B183" s="96" t="inlineStr">
        <is>
          <t>Lote 182</t>
        </is>
      </c>
      <c r="C183" s="95" t="inlineStr">
        <is>
          <t>M18</t>
        </is>
      </c>
      <c r="D183" s="96" t="inlineStr">
        <is>
          <t>Lote Premium (Oasis)</t>
        </is>
      </c>
      <c r="E183" s="97" t="n">
        <v>244.28</v>
      </c>
      <c r="F183" s="95" t="inlineStr">
        <is>
          <t>12.58m x 19.64m</t>
        </is>
      </c>
      <c r="G183" s="98">
        <f>E183*170</f>
        <v/>
      </c>
      <c r="H183" s="95" t="n">
        <v>12</v>
      </c>
      <c r="I183" s="95" t="n">
        <v>15</v>
      </c>
      <c r="J183" s="101" t="inlineStr">
        <is>
          <t>Disponible</t>
        </is>
      </c>
    </row>
    <row r="184" ht="20" customHeight="1">
      <c r="A184" s="90" t="inlineStr">
        <is>
          <t>L183</t>
        </is>
      </c>
      <c r="B184" s="91" t="inlineStr">
        <is>
          <t>Lote 183</t>
        </is>
      </c>
      <c r="C184" s="90" t="inlineStr">
        <is>
          <t>M19</t>
        </is>
      </c>
      <c r="D184" s="91" t="inlineStr">
        <is>
          <t>Lote Estándar</t>
        </is>
      </c>
      <c r="E184" s="92" t="n">
        <v>229.9</v>
      </c>
      <c r="F184" s="90" t="inlineStr">
        <is>
          <t>12.20m x 18.93m</t>
        </is>
      </c>
      <c r="G184" s="93">
        <f>E184*120</f>
        <v/>
      </c>
      <c r="H184" s="90" t="n">
        <v>38</v>
      </c>
      <c r="I184" s="90" t="n">
        <v>26</v>
      </c>
      <c r="J184" s="94" t="inlineStr">
        <is>
          <t>Disponible</t>
        </is>
      </c>
    </row>
    <row r="185" ht="20" customHeight="1">
      <c r="A185" s="95" t="inlineStr">
        <is>
          <t>L184</t>
        </is>
      </c>
      <c r="B185" s="96" t="inlineStr">
        <is>
          <t>Lote 184</t>
        </is>
      </c>
      <c r="C185" s="95" t="inlineStr">
        <is>
          <t>M19</t>
        </is>
      </c>
      <c r="D185" s="96" t="inlineStr">
        <is>
          <t>Lote Estándar</t>
        </is>
      </c>
      <c r="E185" s="97" t="n">
        <v>229.38</v>
      </c>
      <c r="F185" s="95" t="inlineStr">
        <is>
          <t>12.20m x 18.91m</t>
        </is>
      </c>
      <c r="G185" s="98">
        <f>E185*120</f>
        <v/>
      </c>
      <c r="H185" s="95" t="n">
        <v>38</v>
      </c>
      <c r="I185" s="95" t="n">
        <v>38</v>
      </c>
      <c r="J185" s="94" t="inlineStr">
        <is>
          <t>Disponible</t>
        </is>
      </c>
    </row>
    <row r="186" ht="20" customHeight="1">
      <c r="A186" s="90" t="inlineStr">
        <is>
          <t>L185</t>
        </is>
      </c>
      <c r="B186" s="91" t="inlineStr">
        <is>
          <t>Lote 185</t>
        </is>
      </c>
      <c r="C186" s="90" t="inlineStr">
        <is>
          <t>M19</t>
        </is>
      </c>
      <c r="D186" s="91" t="inlineStr">
        <is>
          <t>Lote Estándar</t>
        </is>
      </c>
      <c r="E186" s="92" t="n">
        <v>229.1</v>
      </c>
      <c r="F186" s="90" t="inlineStr">
        <is>
          <t>12.20m x 18.90m</t>
        </is>
      </c>
      <c r="G186" s="93">
        <f>E186*120</f>
        <v/>
      </c>
      <c r="H186" s="90" t="n">
        <v>37</v>
      </c>
      <c r="I186" s="90" t="n">
        <v>50</v>
      </c>
      <c r="J186" s="94" t="inlineStr">
        <is>
          <t>Disponible</t>
        </is>
      </c>
    </row>
    <row r="187" ht="20" customHeight="1">
      <c r="A187" s="95" t="inlineStr">
        <is>
          <t>L186</t>
        </is>
      </c>
      <c r="B187" s="96" t="inlineStr">
        <is>
          <t>Lote 186</t>
        </is>
      </c>
      <c r="C187" s="95" t="inlineStr">
        <is>
          <t>M19</t>
        </is>
      </c>
      <c r="D187" s="96" t="inlineStr">
        <is>
          <t>Lote Estándar</t>
        </is>
      </c>
      <c r="E187" s="97" t="n">
        <v>229.56</v>
      </c>
      <c r="F187" s="95" t="inlineStr">
        <is>
          <t>12.23m x 18.93m</t>
        </is>
      </c>
      <c r="G187" s="98">
        <f>E187*120</f>
        <v/>
      </c>
      <c r="H187" s="95" t="n">
        <v>37</v>
      </c>
      <c r="I187" s="95" t="n">
        <v>63</v>
      </c>
      <c r="J187" s="94" t="inlineStr">
        <is>
          <t>Disponible</t>
        </is>
      </c>
    </row>
    <row r="188" ht="20" customHeight="1">
      <c r="A188" s="90" t="inlineStr">
        <is>
          <t>L187</t>
        </is>
      </c>
      <c r="B188" s="91" t="inlineStr">
        <is>
          <t>Lote 187</t>
        </is>
      </c>
      <c r="C188" s="90" t="inlineStr">
        <is>
          <t>M19</t>
        </is>
      </c>
      <c r="D188" s="91" t="inlineStr">
        <is>
          <t>Lote Estándar</t>
        </is>
      </c>
      <c r="E188" s="92" t="n">
        <v>229.9</v>
      </c>
      <c r="F188" s="90" t="inlineStr">
        <is>
          <t>12.23m x 18.98m</t>
        </is>
      </c>
      <c r="G188" s="93">
        <f>E188*120</f>
        <v/>
      </c>
      <c r="H188" s="90" t="n">
        <v>37</v>
      </c>
      <c r="I188" s="90" t="n">
        <v>75</v>
      </c>
      <c r="J188" s="94" t="inlineStr">
        <is>
          <t>Disponible</t>
        </is>
      </c>
    </row>
    <row r="189" ht="20" customHeight="1">
      <c r="A189" s="95" t="inlineStr">
        <is>
          <t>L188</t>
        </is>
      </c>
      <c r="B189" s="96" t="inlineStr">
        <is>
          <t>Lote 188</t>
        </is>
      </c>
      <c r="C189" s="95" t="inlineStr">
        <is>
          <t>M19</t>
        </is>
      </c>
      <c r="D189" s="96" t="inlineStr">
        <is>
          <t>Lote Estándar</t>
        </is>
      </c>
      <c r="E189" s="97" t="n">
        <v>230.56</v>
      </c>
      <c r="F189" s="95" t="inlineStr">
        <is>
          <t>12.23m x 19.05m</t>
        </is>
      </c>
      <c r="G189" s="98">
        <f>E189*120</f>
        <v/>
      </c>
      <c r="H189" s="95" t="n">
        <v>38</v>
      </c>
      <c r="I189" s="95" t="n">
        <v>87</v>
      </c>
      <c r="J189" s="94" t="inlineStr">
        <is>
          <t>Disponible</t>
        </is>
      </c>
    </row>
    <row r="190" ht="20" customHeight="1">
      <c r="A190" s="90" t="inlineStr">
        <is>
          <t>L189</t>
        </is>
      </c>
      <c r="B190" s="91" t="inlineStr">
        <is>
          <t>Lote 189</t>
        </is>
      </c>
      <c r="C190" s="90" t="inlineStr">
        <is>
          <t>M19</t>
        </is>
      </c>
      <c r="D190" s="91" t="inlineStr">
        <is>
          <t>Lote Estándar</t>
        </is>
      </c>
      <c r="E190" s="92" t="n">
        <v>231.52</v>
      </c>
      <c r="F190" s="90" t="inlineStr">
        <is>
          <t>12.22m x 19.15m</t>
        </is>
      </c>
      <c r="G190" s="93">
        <f>E190*120</f>
        <v/>
      </c>
      <c r="H190" s="90" t="n">
        <v>38</v>
      </c>
      <c r="I190" s="90" t="n">
        <v>99</v>
      </c>
      <c r="J190" s="94" t="inlineStr">
        <is>
          <t>Disponible</t>
        </is>
      </c>
    </row>
    <row r="191" ht="20" customHeight="1">
      <c r="A191" s="95" t="inlineStr">
        <is>
          <t>L190</t>
        </is>
      </c>
      <c r="B191" s="96" t="inlineStr">
        <is>
          <t>Lote 190</t>
        </is>
      </c>
      <c r="C191" s="95" t="inlineStr">
        <is>
          <t>M20</t>
        </is>
      </c>
      <c r="D191" s="96" t="inlineStr">
        <is>
          <t>Lote Zen</t>
        </is>
      </c>
      <c r="E191" s="97" t="n">
        <v>231.34</v>
      </c>
      <c r="F191" s="95" t="inlineStr">
        <is>
          <t>12.11m x 19.29m</t>
        </is>
      </c>
      <c r="G191" s="98">
        <f>E191*120</f>
        <v/>
      </c>
      <c r="H191" s="95" t="n">
        <v>40</v>
      </c>
      <c r="I191" s="95" t="n">
        <v>117</v>
      </c>
      <c r="J191" s="94" t="inlineStr">
        <is>
          <t>Disponible</t>
        </is>
      </c>
    </row>
    <row r="192" ht="20" customHeight="1">
      <c r="A192" s="90" t="inlineStr">
        <is>
          <t>L191</t>
        </is>
      </c>
      <c r="B192" s="91" t="inlineStr">
        <is>
          <t>Lote 191</t>
        </is>
      </c>
      <c r="C192" s="90" t="inlineStr">
        <is>
          <t>M20</t>
        </is>
      </c>
      <c r="D192" s="91" t="inlineStr">
        <is>
          <t>Lote Zen</t>
        </is>
      </c>
      <c r="E192" s="92" t="n">
        <v>232.59</v>
      </c>
      <c r="F192" s="90" t="inlineStr">
        <is>
          <t>12.11m x 19.34m</t>
        </is>
      </c>
      <c r="G192" s="93">
        <f>E192*120</f>
        <v/>
      </c>
      <c r="H192" s="90" t="n">
        <v>41</v>
      </c>
      <c r="I192" s="90" t="n">
        <v>129</v>
      </c>
      <c r="J192" s="94" t="inlineStr">
        <is>
          <t>Disponible</t>
        </is>
      </c>
    </row>
    <row r="193" ht="20" customHeight="1">
      <c r="A193" s="95" t="inlineStr">
        <is>
          <t>L192</t>
        </is>
      </c>
      <c r="B193" s="96" t="inlineStr">
        <is>
          <t>Lote 192</t>
        </is>
      </c>
      <c r="C193" s="95" t="inlineStr">
        <is>
          <t>M20</t>
        </is>
      </c>
      <c r="D193" s="96" t="inlineStr">
        <is>
          <t>Lote Zen</t>
        </is>
      </c>
      <c r="E193" s="97" t="n">
        <v>232.9</v>
      </c>
      <c r="F193" s="95" t="inlineStr">
        <is>
          <t>12.11m x 19.37m</t>
        </is>
      </c>
      <c r="G193" s="98">
        <f>E193*120</f>
        <v/>
      </c>
      <c r="H193" s="95" t="n">
        <v>41</v>
      </c>
      <c r="I193" s="95" t="n">
        <v>141</v>
      </c>
      <c r="J193" s="94" t="inlineStr">
        <is>
          <t>Disponible</t>
        </is>
      </c>
    </row>
    <row r="194" ht="20" customHeight="1">
      <c r="A194" s="90" t="inlineStr">
        <is>
          <t>L193</t>
        </is>
      </c>
      <c r="B194" s="91" t="inlineStr">
        <is>
          <t>Lote 193</t>
        </is>
      </c>
      <c r="C194" s="90" t="inlineStr">
        <is>
          <t>M20</t>
        </is>
      </c>
      <c r="D194" s="91" t="inlineStr">
        <is>
          <t>Lote Zen</t>
        </is>
      </c>
      <c r="E194" s="92" t="n">
        <v>233.21</v>
      </c>
      <c r="F194" s="90" t="inlineStr">
        <is>
          <t>12.11m x 19.39m</t>
        </is>
      </c>
      <c r="G194" s="93">
        <f>E194*120</f>
        <v/>
      </c>
      <c r="H194" s="90" t="n">
        <v>41</v>
      </c>
      <c r="I194" s="90" t="n">
        <v>145</v>
      </c>
      <c r="J194" s="94" t="inlineStr">
        <is>
          <t>Disponible</t>
        </is>
      </c>
    </row>
    <row r="195" ht="20" customHeight="1">
      <c r="A195" s="95" t="inlineStr">
        <is>
          <t>L194</t>
        </is>
      </c>
      <c r="B195" s="96" t="inlineStr">
        <is>
          <t>Lote 194</t>
        </is>
      </c>
      <c r="C195" s="95" t="inlineStr">
        <is>
          <t>M20</t>
        </is>
      </c>
      <c r="D195" s="96" t="inlineStr">
        <is>
          <t>Lote Zen</t>
        </is>
      </c>
      <c r="E195" s="97" t="n">
        <v>233.52</v>
      </c>
      <c r="F195" s="95" t="inlineStr">
        <is>
          <t>12.11m x 19.42m</t>
        </is>
      </c>
      <c r="G195" s="98">
        <f>E195*120</f>
        <v/>
      </c>
      <c r="H195" s="95" t="n">
        <v>41</v>
      </c>
      <c r="I195" s="95" t="n">
        <v>145</v>
      </c>
      <c r="J195" s="94" t="inlineStr">
        <is>
          <t>Disponible</t>
        </is>
      </c>
    </row>
    <row r="196" ht="20" customHeight="1">
      <c r="A196" s="90" t="inlineStr">
        <is>
          <t>L195</t>
        </is>
      </c>
      <c r="B196" s="91" t="inlineStr">
        <is>
          <t>Lote 195</t>
        </is>
      </c>
      <c r="C196" s="90" t="inlineStr">
        <is>
          <t>M20</t>
        </is>
      </c>
      <c r="D196" s="91" t="inlineStr">
        <is>
          <t>Lote Zen</t>
        </is>
      </c>
      <c r="E196" s="92" t="n">
        <v>233.85</v>
      </c>
      <c r="F196" s="90" t="inlineStr">
        <is>
          <t>12.11m x 19.45m</t>
        </is>
      </c>
      <c r="G196" s="93">
        <f>E196*120</f>
        <v/>
      </c>
      <c r="H196" s="90" t="n">
        <v>41</v>
      </c>
      <c r="I196" s="90" t="n">
        <v>145</v>
      </c>
      <c r="J196" s="94" t="inlineStr">
        <is>
          <t>Disponible</t>
        </is>
      </c>
    </row>
    <row r="197" ht="20" customHeight="1">
      <c r="A197" s="95" t="inlineStr">
        <is>
          <t>L196</t>
        </is>
      </c>
      <c r="B197" s="96" t="inlineStr">
        <is>
          <t>Lote 196</t>
        </is>
      </c>
      <c r="C197" s="95" t="inlineStr">
        <is>
          <t>M20</t>
        </is>
      </c>
      <c r="D197" s="96" t="inlineStr">
        <is>
          <t>Lote Zen</t>
        </is>
      </c>
      <c r="E197" s="97" t="n">
        <v>234.16</v>
      </c>
      <c r="F197" s="95" t="inlineStr">
        <is>
          <t>12.11m x 19.47m</t>
        </is>
      </c>
      <c r="G197" s="98">
        <f>E197*120</f>
        <v/>
      </c>
      <c r="H197" s="95" t="n">
        <v>41</v>
      </c>
      <c r="I197" s="95" t="n">
        <v>145</v>
      </c>
      <c r="J197" s="94" t="inlineStr">
        <is>
          <t>Disponible</t>
        </is>
      </c>
    </row>
    <row r="198" ht="20" customHeight="1">
      <c r="A198" s="90" t="inlineStr">
        <is>
          <t>L197</t>
        </is>
      </c>
      <c r="B198" s="91" t="inlineStr">
        <is>
          <t>Lote 197</t>
        </is>
      </c>
      <c r="C198" s="90" t="inlineStr">
        <is>
          <t>M20</t>
        </is>
      </c>
      <c r="D198" s="91" t="inlineStr">
        <is>
          <t>Lote Zen</t>
        </is>
      </c>
      <c r="E198" s="92" t="n">
        <v>234.47</v>
      </c>
      <c r="F198" s="90" t="inlineStr">
        <is>
          <t>12.11m x 19.50m</t>
        </is>
      </c>
      <c r="G198" s="93">
        <f>E198*120</f>
        <v/>
      </c>
      <c r="H198" s="90" t="n">
        <v>41</v>
      </c>
      <c r="I198" s="90" t="n">
        <v>145</v>
      </c>
      <c r="J198" s="94" t="inlineStr">
        <is>
          <t>Disponible</t>
        </is>
      </c>
    </row>
    <row r="199" ht="20" customHeight="1">
      <c r="A199" s="95" t="inlineStr">
        <is>
          <t>L198</t>
        </is>
      </c>
      <c r="B199" s="96" t="inlineStr">
        <is>
          <t>Lote 198</t>
        </is>
      </c>
      <c r="C199" s="95" t="inlineStr">
        <is>
          <t>M20</t>
        </is>
      </c>
      <c r="D199" s="96" t="inlineStr">
        <is>
          <t>Lote Zen</t>
        </is>
      </c>
      <c r="E199" s="97" t="n">
        <v>234.78</v>
      </c>
      <c r="F199" s="95" t="inlineStr">
        <is>
          <t>12.11m x 19.52m</t>
        </is>
      </c>
      <c r="G199" s="98">
        <f>E199*120</f>
        <v/>
      </c>
      <c r="H199" s="95" t="n">
        <v>41</v>
      </c>
      <c r="I199" s="95" t="n">
        <v>145</v>
      </c>
      <c r="J199" s="94" t="inlineStr">
        <is>
          <t>Disponible</t>
        </is>
      </c>
    </row>
    <row r="200" ht="20" customHeight="1">
      <c r="A200" s="90" t="inlineStr">
        <is>
          <t>L199</t>
        </is>
      </c>
      <c r="B200" s="91" t="inlineStr">
        <is>
          <t>Lote 199</t>
        </is>
      </c>
      <c r="C200" s="90" t="inlineStr">
        <is>
          <t>M20</t>
        </is>
      </c>
      <c r="D200" s="91" t="inlineStr">
        <is>
          <t>Lote Zen</t>
        </is>
      </c>
      <c r="E200" s="92" t="n">
        <v>235.1</v>
      </c>
      <c r="F200" s="90" t="inlineStr">
        <is>
          <t>12.11m x 19.55m</t>
        </is>
      </c>
      <c r="G200" s="93">
        <f>E200*120</f>
        <v/>
      </c>
      <c r="H200" s="90" t="n">
        <v>41</v>
      </c>
      <c r="I200" s="90" t="n">
        <v>134</v>
      </c>
      <c r="J200" s="94" t="inlineStr">
        <is>
          <t>Disponible</t>
        </is>
      </c>
    </row>
    <row r="201" ht="20" customHeight="1">
      <c r="A201" s="95" t="inlineStr">
        <is>
          <t>L200</t>
        </is>
      </c>
      <c r="B201" s="96" t="inlineStr">
        <is>
          <t>Lote 200</t>
        </is>
      </c>
      <c r="C201" s="95" t="inlineStr">
        <is>
          <t>M21</t>
        </is>
      </c>
      <c r="D201" s="96" t="inlineStr">
        <is>
          <t>Lote Estándar</t>
        </is>
      </c>
      <c r="E201" s="97" t="n">
        <v>244.88</v>
      </c>
      <c r="F201" s="95" t="inlineStr">
        <is>
          <t>12.57m x 19.55m</t>
        </is>
      </c>
      <c r="G201" s="98">
        <f>E201*120</f>
        <v/>
      </c>
      <c r="H201" s="95" t="n">
        <v>42</v>
      </c>
      <c r="I201" s="95" t="n">
        <v>116</v>
      </c>
      <c r="J201" s="94" t="inlineStr">
        <is>
          <t>Disponible</t>
        </is>
      </c>
    </row>
    <row r="202" ht="20" customHeight="1">
      <c r="A202" s="90" t="inlineStr">
        <is>
          <t>L201</t>
        </is>
      </c>
      <c r="B202" s="91" t="inlineStr">
        <is>
          <t>Lote 201</t>
        </is>
      </c>
      <c r="C202" s="90" t="inlineStr">
        <is>
          <t>M21</t>
        </is>
      </c>
      <c r="D202" s="91" t="inlineStr">
        <is>
          <t>Lote Estándar</t>
        </is>
      </c>
      <c r="E202" s="92" t="n">
        <v>244.44</v>
      </c>
      <c r="F202" s="90" t="inlineStr">
        <is>
          <t>12.57m x 19.51m</t>
        </is>
      </c>
      <c r="G202" s="93">
        <f>E202*120</f>
        <v/>
      </c>
      <c r="H202" s="90" t="n">
        <v>41</v>
      </c>
      <c r="I202" s="90" t="n">
        <v>104</v>
      </c>
      <c r="J202" s="94" t="inlineStr">
        <is>
          <t>Disponible</t>
        </is>
      </c>
    </row>
    <row r="203" ht="20" customHeight="1">
      <c r="A203" s="95" t="inlineStr">
        <is>
          <t>L202</t>
        </is>
      </c>
      <c r="B203" s="96" t="inlineStr">
        <is>
          <t>Lote 202</t>
        </is>
      </c>
      <c r="C203" s="95" t="inlineStr">
        <is>
          <t>M21</t>
        </is>
      </c>
      <c r="D203" s="96" t="inlineStr">
        <is>
          <t>Lote Estándar</t>
        </is>
      </c>
      <c r="E203" s="97" t="n">
        <v>243.65</v>
      </c>
      <c r="F203" s="95" t="inlineStr">
        <is>
          <t>12.57m x 19.45m</t>
        </is>
      </c>
      <c r="G203" s="98">
        <f>E203*120</f>
        <v/>
      </c>
      <c r="H203" s="95" t="n">
        <v>40</v>
      </c>
      <c r="I203" s="95" t="n">
        <v>91</v>
      </c>
      <c r="J203" s="94" t="inlineStr">
        <is>
          <t>Disponible</t>
        </is>
      </c>
    </row>
    <row r="204" ht="20" customHeight="1">
      <c r="A204" s="90" t="inlineStr">
        <is>
          <t>L203</t>
        </is>
      </c>
      <c r="B204" s="91" t="inlineStr">
        <is>
          <t>Lote 203</t>
        </is>
      </c>
      <c r="C204" s="90" t="inlineStr">
        <is>
          <t>M21</t>
        </is>
      </c>
      <c r="D204" s="91" t="inlineStr">
        <is>
          <t>Lote Estándar</t>
        </is>
      </c>
      <c r="E204" s="92" t="n">
        <v>243.02</v>
      </c>
      <c r="F204" s="90" t="inlineStr">
        <is>
          <t>12.57m x 19.42m</t>
        </is>
      </c>
      <c r="G204" s="93">
        <f>E204*120</f>
        <v/>
      </c>
      <c r="H204" s="90" t="n">
        <v>39</v>
      </c>
      <c r="I204" s="90" t="n">
        <v>78</v>
      </c>
      <c r="J204" s="94" t="inlineStr">
        <is>
          <t>Disponible</t>
        </is>
      </c>
    </row>
    <row r="205" ht="20" customHeight="1">
      <c r="A205" s="95" t="inlineStr">
        <is>
          <t>L204</t>
        </is>
      </c>
      <c r="B205" s="96" t="inlineStr">
        <is>
          <t>Lote 204</t>
        </is>
      </c>
      <c r="C205" s="95" t="inlineStr">
        <is>
          <t>M21</t>
        </is>
      </c>
      <c r="D205" s="96" t="inlineStr">
        <is>
          <t>Lote Estándar</t>
        </is>
      </c>
      <c r="E205" s="97" t="n">
        <v>242.91</v>
      </c>
      <c r="F205" s="95" t="inlineStr">
        <is>
          <t>12.59m x 19.41m</t>
        </is>
      </c>
      <c r="G205" s="98">
        <f>E205*120</f>
        <v/>
      </c>
      <c r="H205" s="95" t="n">
        <v>38</v>
      </c>
      <c r="I205" s="95" t="n">
        <v>65</v>
      </c>
      <c r="J205" s="94" t="inlineStr">
        <is>
          <t>Disponible</t>
        </is>
      </c>
    </row>
    <row r="206" ht="20" customHeight="1">
      <c r="A206" s="90" t="inlineStr">
        <is>
          <t>L205</t>
        </is>
      </c>
      <c r="B206" s="91" t="inlineStr">
        <is>
          <t>Lote 205</t>
        </is>
      </c>
      <c r="C206" s="90" t="inlineStr">
        <is>
          <t>M21</t>
        </is>
      </c>
      <c r="D206" s="91" t="inlineStr">
        <is>
          <t>Lote Estándar</t>
        </is>
      </c>
      <c r="E206" s="92" t="n">
        <v>242.86</v>
      </c>
      <c r="F206" s="90" t="inlineStr">
        <is>
          <t>12.59m x 19.43m</t>
        </is>
      </c>
      <c r="G206" s="93">
        <f>E206*120</f>
        <v/>
      </c>
      <c r="H206" s="90" t="n">
        <v>38</v>
      </c>
      <c r="I206" s="90" t="n">
        <v>53</v>
      </c>
      <c r="J206" s="94" t="inlineStr">
        <is>
          <t>Disponible</t>
        </is>
      </c>
    </row>
    <row r="207" ht="20" customHeight="1">
      <c r="A207" s="95" t="inlineStr">
        <is>
          <t>L206</t>
        </is>
      </c>
      <c r="B207" s="96" t="inlineStr">
        <is>
          <t>Lote 206</t>
        </is>
      </c>
      <c r="C207" s="95" t="inlineStr">
        <is>
          <t>M21</t>
        </is>
      </c>
      <c r="D207" s="96" t="inlineStr">
        <is>
          <t>Lote Estándar</t>
        </is>
      </c>
      <c r="E207" s="97" t="n">
        <v>243.16</v>
      </c>
      <c r="F207" s="95" t="inlineStr">
        <is>
          <t>12.59m x 19.47m</t>
        </is>
      </c>
      <c r="G207" s="98">
        <f>E207*120</f>
        <v/>
      </c>
      <c r="H207" s="95" t="n">
        <v>38</v>
      </c>
      <c r="I207" s="95" t="n">
        <v>40</v>
      </c>
      <c r="J207" s="94" t="inlineStr">
        <is>
          <t>Disponible</t>
        </is>
      </c>
    </row>
    <row r="208" ht="20" customHeight="1">
      <c r="A208" s="90" t="inlineStr">
        <is>
          <t>L207</t>
        </is>
      </c>
      <c r="B208" s="91" t="inlineStr">
        <is>
          <t>Lote 207</t>
        </is>
      </c>
      <c r="C208" s="90" t="inlineStr">
        <is>
          <t>M21</t>
        </is>
      </c>
      <c r="D208" s="91" t="inlineStr">
        <is>
          <t>Lote Estándar</t>
        </is>
      </c>
      <c r="E208" s="92" t="n">
        <v>243.82</v>
      </c>
      <c r="F208" s="90" t="inlineStr">
        <is>
          <t>12.59m x 19.55m</t>
        </is>
      </c>
      <c r="G208" s="93">
        <f>E208*120</f>
        <v/>
      </c>
      <c r="H208" s="90" t="n">
        <v>39</v>
      </c>
      <c r="I208" s="90" t="n">
        <v>28</v>
      </c>
      <c r="J208" s="94" t="inlineStr">
        <is>
          <t>Disponible</t>
        </is>
      </c>
    </row>
    <row r="209" ht="20" customHeight="1">
      <c r="A209" s="95" t="inlineStr">
        <is>
          <t>L208</t>
        </is>
      </c>
      <c r="B209" s="96" t="inlineStr">
        <is>
          <t>Lote 208</t>
        </is>
      </c>
      <c r="C209" s="95" t="inlineStr">
        <is>
          <t>M21</t>
        </is>
      </c>
      <c r="D209" s="96" t="inlineStr">
        <is>
          <t>Lote Estándar</t>
        </is>
      </c>
      <c r="E209" s="97" t="n">
        <v>244.82</v>
      </c>
      <c r="F209" s="95" t="inlineStr">
        <is>
          <t>12.59m x 19.64m</t>
        </is>
      </c>
      <c r="G209" s="98">
        <f>E209*120</f>
        <v/>
      </c>
      <c r="H209" s="95" t="n">
        <v>39</v>
      </c>
      <c r="I209" s="95" t="n">
        <v>15</v>
      </c>
      <c r="J209" s="94" t="inlineStr">
        <is>
          <t>Disponible</t>
        </is>
      </c>
    </row>
    <row r="210" ht="20" customHeight="1">
      <c r="A210" s="90" t="inlineStr">
        <is>
          <t>L209</t>
        </is>
      </c>
      <c r="B210" s="91" t="inlineStr">
        <is>
          <t>Lote 209</t>
        </is>
      </c>
      <c r="C210" s="90" t="inlineStr">
        <is>
          <t>M22</t>
        </is>
      </c>
      <c r="D210" s="91" t="inlineStr">
        <is>
          <t>Lote Tiny House</t>
        </is>
      </c>
      <c r="E210" s="92" t="n">
        <v>114.93</v>
      </c>
      <c r="F210" s="90" t="inlineStr">
        <is>
          <t>12.20m x 9.47m</t>
        </is>
      </c>
      <c r="G210" s="93">
        <f>E210*120</f>
        <v/>
      </c>
      <c r="H210" s="90" t="n">
        <v>61</v>
      </c>
      <c r="I210" s="90" t="n">
        <v>26</v>
      </c>
      <c r="J210" s="99" t="inlineStr">
        <is>
          <t>Disponible</t>
        </is>
      </c>
    </row>
    <row r="211" ht="20" customHeight="1">
      <c r="A211" s="95" t="inlineStr">
        <is>
          <t>L210</t>
        </is>
      </c>
      <c r="B211" s="96" t="inlineStr">
        <is>
          <t>Lote 210</t>
        </is>
      </c>
      <c r="C211" s="95" t="inlineStr">
        <is>
          <t>M22</t>
        </is>
      </c>
      <c r="D211" s="96" t="inlineStr">
        <is>
          <t>Lote Tiny House</t>
        </is>
      </c>
      <c r="E211" s="97" t="n">
        <v>114.69</v>
      </c>
      <c r="F211" s="95" t="inlineStr">
        <is>
          <t>12.20m x 9.45m</t>
        </is>
      </c>
      <c r="G211" s="98">
        <f>E211*120</f>
        <v/>
      </c>
      <c r="H211" s="95" t="n">
        <v>60</v>
      </c>
      <c r="I211" s="95" t="n">
        <v>36</v>
      </c>
      <c r="J211" s="99" t="inlineStr">
        <is>
          <t>Disponible</t>
        </is>
      </c>
    </row>
    <row r="212" ht="20" customHeight="1">
      <c r="A212" s="90" t="inlineStr">
        <is>
          <t>L211</t>
        </is>
      </c>
      <c r="B212" s="91" t="inlineStr">
        <is>
          <t>Lote 211</t>
        </is>
      </c>
      <c r="C212" s="90" t="inlineStr">
        <is>
          <t>M22</t>
        </is>
      </c>
      <c r="D212" s="91" t="inlineStr">
        <is>
          <t>Lote Tiny House</t>
        </is>
      </c>
      <c r="E212" s="92" t="n">
        <v>114.58</v>
      </c>
      <c r="F212" s="90" t="inlineStr">
        <is>
          <t>12.20m x 9.45m</t>
        </is>
      </c>
      <c r="G212" s="93">
        <f>E212*120</f>
        <v/>
      </c>
      <c r="H212" s="90" t="n">
        <v>59</v>
      </c>
      <c r="I212" s="90" t="n">
        <v>47</v>
      </c>
      <c r="J212" s="94" t="inlineStr">
        <is>
          <t>Disponible</t>
        </is>
      </c>
    </row>
    <row r="213" ht="20" customHeight="1">
      <c r="A213" s="95" t="inlineStr">
        <is>
          <t>L212</t>
        </is>
      </c>
      <c r="B213" s="96" t="inlineStr">
        <is>
          <t>Lote 212</t>
        </is>
      </c>
      <c r="C213" s="95" t="inlineStr">
        <is>
          <t>M22</t>
        </is>
      </c>
      <c r="D213" s="96" t="inlineStr">
        <is>
          <t>Lote Tiny House</t>
        </is>
      </c>
      <c r="E213" s="97" t="n">
        <v>114.85</v>
      </c>
      <c r="F213" s="95" t="inlineStr">
        <is>
          <t>12.23m x 9.46m</t>
        </is>
      </c>
      <c r="G213" s="98">
        <f>E213*120</f>
        <v/>
      </c>
      <c r="H213" s="95" t="n">
        <v>59</v>
      </c>
      <c r="I213" s="95" t="n">
        <v>58</v>
      </c>
      <c r="J213" s="94" t="inlineStr">
        <is>
          <t>Disponible</t>
        </is>
      </c>
    </row>
    <row r="214" ht="20" customHeight="1">
      <c r="A214" s="90" t="inlineStr">
        <is>
          <t>L213</t>
        </is>
      </c>
      <c r="B214" s="91" t="inlineStr">
        <is>
          <t>Lote 213</t>
        </is>
      </c>
      <c r="C214" s="90" t="inlineStr">
        <is>
          <t>M22</t>
        </is>
      </c>
      <c r="D214" s="91" t="inlineStr">
        <is>
          <t>Lote Tiny House</t>
        </is>
      </c>
      <c r="E214" s="92" t="n">
        <v>115.06</v>
      </c>
      <c r="F214" s="90" t="inlineStr">
        <is>
          <t>12.23m x 9.49m</t>
        </is>
      </c>
      <c r="G214" s="93">
        <f>E214*120</f>
        <v/>
      </c>
      <c r="H214" s="90" t="n">
        <v>59</v>
      </c>
      <c r="I214" s="90" t="n">
        <v>70</v>
      </c>
      <c r="J214" s="94" t="inlineStr">
        <is>
          <t>Disponible</t>
        </is>
      </c>
    </row>
    <row r="215" ht="20" customHeight="1">
      <c r="A215" s="95" t="inlineStr">
        <is>
          <t>L214</t>
        </is>
      </c>
      <c r="B215" s="96" t="inlineStr">
        <is>
          <t>Lote 214</t>
        </is>
      </c>
      <c r="C215" s="95" t="inlineStr">
        <is>
          <t>M22</t>
        </is>
      </c>
      <c r="D215" s="96" t="inlineStr">
        <is>
          <t>Lote Tiny House</t>
        </is>
      </c>
      <c r="E215" s="97" t="n">
        <v>115.43</v>
      </c>
      <c r="F215" s="95" t="inlineStr">
        <is>
          <t>12.23m x 9.53m</t>
        </is>
      </c>
      <c r="G215" s="98">
        <f>E215*120</f>
        <v/>
      </c>
      <c r="H215" s="95" t="n">
        <v>60</v>
      </c>
      <c r="I215" s="95" t="n">
        <v>82</v>
      </c>
      <c r="J215" s="99" t="inlineStr">
        <is>
          <t>Disponible</t>
        </is>
      </c>
    </row>
    <row r="216" ht="20" customHeight="1">
      <c r="A216" s="90" t="inlineStr">
        <is>
          <t>L215</t>
        </is>
      </c>
      <c r="B216" s="91" t="inlineStr">
        <is>
          <t>Lote 215</t>
        </is>
      </c>
      <c r="C216" s="90" t="inlineStr">
        <is>
          <t>M22</t>
        </is>
      </c>
      <c r="D216" s="91" t="inlineStr">
        <is>
          <t>Lote Tiny House</t>
        </is>
      </c>
      <c r="E216" s="92" t="n">
        <v>115.95</v>
      </c>
      <c r="F216" s="90" t="inlineStr">
        <is>
          <t>12.23m x 9.57m</t>
        </is>
      </c>
      <c r="G216" s="93">
        <f>E216*120</f>
        <v/>
      </c>
      <c r="H216" s="90" t="n">
        <v>60</v>
      </c>
      <c r="I216" s="90" t="n">
        <v>94</v>
      </c>
      <c r="J216" s="99" t="inlineStr">
        <is>
          <t>Disponible</t>
        </is>
      </c>
    </row>
    <row r="217" ht="20" customHeight="1">
      <c r="A217" s="95" t="inlineStr">
        <is>
          <t>L216</t>
        </is>
      </c>
      <c r="B217" s="96" t="inlineStr">
        <is>
          <t>Lote 216</t>
        </is>
      </c>
      <c r="C217" s="95" t="inlineStr">
        <is>
          <t>M22</t>
        </is>
      </c>
      <c r="D217" s="96" t="inlineStr">
        <is>
          <t>Lote Tiny House</t>
        </is>
      </c>
      <c r="E217" s="97" t="n">
        <v>114.92</v>
      </c>
      <c r="F217" s="95" t="inlineStr">
        <is>
          <t>12.20m x 9.47m</t>
        </is>
      </c>
      <c r="G217" s="98">
        <f>E217*120</f>
        <v/>
      </c>
      <c r="H217" s="95" t="n">
        <v>70</v>
      </c>
      <c r="I217" s="95" t="n">
        <v>20</v>
      </c>
      <c r="J217" s="94" t="inlineStr">
        <is>
          <t>Disponible</t>
        </is>
      </c>
    </row>
    <row r="218" ht="20" customHeight="1">
      <c r="A218" s="90" t="inlineStr">
        <is>
          <t>L217</t>
        </is>
      </c>
      <c r="B218" s="91" t="inlineStr">
        <is>
          <t>Lote 217</t>
        </is>
      </c>
      <c r="C218" s="90" t="inlineStr">
        <is>
          <t>M22</t>
        </is>
      </c>
      <c r="D218" s="91" t="inlineStr">
        <is>
          <t>Lote Tiny House</t>
        </is>
      </c>
      <c r="E218" s="92" t="n">
        <v>114.69</v>
      </c>
      <c r="F218" s="90" t="inlineStr">
        <is>
          <t>12.20m x 9.45m</t>
        </is>
      </c>
      <c r="G218" s="93">
        <f>E218*120</f>
        <v/>
      </c>
      <c r="H218" s="90" t="n">
        <v>69</v>
      </c>
      <c r="I218" s="90" t="n">
        <v>31</v>
      </c>
      <c r="J218" s="94" t="inlineStr">
        <is>
          <t>Disponible</t>
        </is>
      </c>
    </row>
    <row r="219" ht="20" customHeight="1">
      <c r="A219" s="95" t="inlineStr">
        <is>
          <t>L218</t>
        </is>
      </c>
      <c r="B219" s="96" t="inlineStr">
        <is>
          <t>Lote 218</t>
        </is>
      </c>
      <c r="C219" s="95" t="inlineStr">
        <is>
          <t>M22</t>
        </is>
      </c>
      <c r="D219" s="96" t="inlineStr">
        <is>
          <t>Lote Tiny House</t>
        </is>
      </c>
      <c r="E219" s="97" t="n">
        <v>114.6</v>
      </c>
      <c r="F219" s="95" t="inlineStr">
        <is>
          <t>12.20m x 9.45m</t>
        </is>
      </c>
      <c r="G219" s="98">
        <f>E219*120</f>
        <v/>
      </c>
      <c r="H219" s="95" t="n">
        <v>69</v>
      </c>
      <c r="I219" s="95" t="n">
        <v>42</v>
      </c>
      <c r="J219" s="99" t="inlineStr">
        <is>
          <t>Disponible</t>
        </is>
      </c>
    </row>
    <row r="220" ht="20" customHeight="1">
      <c r="A220" s="90" t="inlineStr">
        <is>
          <t>L219</t>
        </is>
      </c>
      <c r="B220" s="91" t="inlineStr">
        <is>
          <t>Lote 219</t>
        </is>
      </c>
      <c r="C220" s="90" t="inlineStr">
        <is>
          <t>M22</t>
        </is>
      </c>
      <c r="D220" s="91" t="inlineStr">
        <is>
          <t>Lote Tiny House</t>
        </is>
      </c>
      <c r="E220" s="92" t="n">
        <v>114.88</v>
      </c>
      <c r="F220" s="90" t="inlineStr">
        <is>
          <t>12.23m x 9.46m</t>
        </is>
      </c>
      <c r="G220" s="93">
        <f>E220*120</f>
        <v/>
      </c>
      <c r="H220" s="90" t="n">
        <v>69</v>
      </c>
      <c r="I220" s="90" t="n">
        <v>55</v>
      </c>
      <c r="J220" s="99" t="inlineStr">
        <is>
          <t>Disponible</t>
        </is>
      </c>
    </row>
    <row r="221" ht="20" customHeight="1">
      <c r="A221" s="95" t="inlineStr">
        <is>
          <t>L220</t>
        </is>
      </c>
      <c r="B221" s="96" t="inlineStr">
        <is>
          <t>Lote 220</t>
        </is>
      </c>
      <c r="C221" s="95" t="inlineStr">
        <is>
          <t>M22</t>
        </is>
      </c>
      <c r="D221" s="96" t="inlineStr">
        <is>
          <t>Lote Tiny House</t>
        </is>
      </c>
      <c r="E221" s="97" t="n">
        <v>115.11</v>
      </c>
      <c r="F221" s="95" t="inlineStr">
        <is>
          <t>12.23m x 9.49m</t>
        </is>
      </c>
      <c r="G221" s="98">
        <f>E221*120</f>
        <v/>
      </c>
      <c r="H221" s="95" t="n">
        <v>69</v>
      </c>
      <c r="I221" s="95" t="n">
        <v>67</v>
      </c>
      <c r="J221" s="99" t="inlineStr">
        <is>
          <t>Disponible</t>
        </is>
      </c>
    </row>
    <row r="222" ht="20" customHeight="1">
      <c r="A222" s="90" t="inlineStr">
        <is>
          <t>L221</t>
        </is>
      </c>
      <c r="B222" s="91" t="inlineStr">
        <is>
          <t>Lote 221</t>
        </is>
      </c>
      <c r="C222" s="90" t="inlineStr">
        <is>
          <t>M22</t>
        </is>
      </c>
      <c r="D222" s="91" t="inlineStr">
        <is>
          <t>Lote Tiny House</t>
        </is>
      </c>
      <c r="E222" s="92" t="n">
        <v>115.5</v>
      </c>
      <c r="F222" s="90" t="inlineStr">
        <is>
          <t>12.23m x 9.53m</t>
        </is>
      </c>
      <c r="G222" s="93">
        <f>E222*120</f>
        <v/>
      </c>
      <c r="H222" s="90" t="n">
        <v>69</v>
      </c>
      <c r="I222" s="90" t="n">
        <v>79</v>
      </c>
      <c r="J222" s="99" t="inlineStr">
        <is>
          <t>Disponible</t>
        </is>
      </c>
    </row>
    <row r="223" ht="20" customHeight="1">
      <c r="A223" s="95" t="inlineStr">
        <is>
          <t>L222</t>
        </is>
      </c>
      <c r="B223" s="96" t="inlineStr">
        <is>
          <t>Lote 222</t>
        </is>
      </c>
      <c r="C223" s="95" t="inlineStr">
        <is>
          <t>M22</t>
        </is>
      </c>
      <c r="D223" s="96" t="inlineStr">
        <is>
          <t>Lote Tiny House</t>
        </is>
      </c>
      <c r="E223" s="97" t="n">
        <v>116.02</v>
      </c>
      <c r="F223" s="95" t="inlineStr">
        <is>
          <t>12.23m x 9.57m</t>
        </is>
      </c>
      <c r="G223" s="98">
        <f>E223*120</f>
        <v/>
      </c>
      <c r="H223" s="95" t="n">
        <v>70</v>
      </c>
      <c r="I223" s="95" t="n">
        <v>91</v>
      </c>
      <c r="J223" s="99" t="inlineStr">
        <is>
          <t>Disponible</t>
        </is>
      </c>
    </row>
    <row r="224" ht="20" customHeight="1">
      <c r="A224" s="90" t="inlineStr">
        <is>
          <t>L223</t>
        </is>
      </c>
      <c r="B224" s="91" t="inlineStr">
        <is>
          <t>Lote 223</t>
        </is>
      </c>
      <c r="C224" s="90" t="inlineStr">
        <is>
          <t>M23</t>
        </is>
      </c>
      <c r="D224" s="91" t="inlineStr">
        <is>
          <t>Lote Tiny House</t>
        </is>
      </c>
      <c r="E224" s="92" t="n">
        <v>115.84</v>
      </c>
      <c r="F224" s="90" t="inlineStr">
        <is>
          <t>12.11m x 9.64m</t>
        </is>
      </c>
      <c r="G224" s="93">
        <f>E224*120</f>
        <v/>
      </c>
      <c r="H224" s="90" t="n">
        <v>62</v>
      </c>
      <c r="I224" s="90" t="n">
        <v>111</v>
      </c>
      <c r="J224" s="99" t="inlineStr">
        <is>
          <t>Disponible</t>
        </is>
      </c>
    </row>
    <row r="225" ht="20" customHeight="1">
      <c r="A225" s="95" t="inlineStr">
        <is>
          <t>L224</t>
        </is>
      </c>
      <c r="B225" s="96" t="inlineStr">
        <is>
          <t>Lote 224</t>
        </is>
      </c>
      <c r="C225" s="95" t="inlineStr">
        <is>
          <t>M23</t>
        </is>
      </c>
      <c r="D225" s="96" t="inlineStr">
        <is>
          <t>Lote Tiny House</t>
        </is>
      </c>
      <c r="E225" s="97" t="n">
        <v>116.36</v>
      </c>
      <c r="F225" s="95" t="inlineStr">
        <is>
          <t>12.11m x 9.67m</t>
        </is>
      </c>
      <c r="G225" s="98">
        <f>E225*120</f>
        <v/>
      </c>
      <c r="H225" s="95" t="n">
        <v>63</v>
      </c>
      <c r="I225" s="95" t="n">
        <v>123</v>
      </c>
      <c r="J225" s="99" t="inlineStr">
        <is>
          <t>Disponible</t>
        </is>
      </c>
    </row>
    <row r="226" ht="20" customHeight="1">
      <c r="A226" s="90" t="inlineStr">
        <is>
          <t>L225</t>
        </is>
      </c>
      <c r="B226" s="91" t="inlineStr">
        <is>
          <t>Lote 225</t>
        </is>
      </c>
      <c r="C226" s="90" t="inlineStr">
        <is>
          <t>M23</t>
        </is>
      </c>
      <c r="D226" s="91" t="inlineStr">
        <is>
          <t>Lote Tiny House</t>
        </is>
      </c>
      <c r="E226" s="92" t="n">
        <v>116.51</v>
      </c>
      <c r="F226" s="90" t="inlineStr">
        <is>
          <t>12.11m x 9.68m</t>
        </is>
      </c>
      <c r="G226" s="93">
        <f>E226*120</f>
        <v/>
      </c>
      <c r="H226" s="90" t="n">
        <v>64</v>
      </c>
      <c r="I226" s="90" t="n">
        <v>135</v>
      </c>
      <c r="J226" s="99" t="inlineStr">
        <is>
          <t>Disponible</t>
        </is>
      </c>
    </row>
    <row r="227" ht="20" customHeight="1">
      <c r="A227" s="95" t="inlineStr">
        <is>
          <t>L226</t>
        </is>
      </c>
      <c r="B227" s="96" t="inlineStr">
        <is>
          <t>Lote 226</t>
        </is>
      </c>
      <c r="C227" s="95" t="inlineStr">
        <is>
          <t>M23</t>
        </is>
      </c>
      <c r="D227" s="96" t="inlineStr">
        <is>
          <t>Lote Tiny House</t>
        </is>
      </c>
      <c r="E227" s="97" t="n">
        <v>116.67</v>
      </c>
      <c r="F227" s="95" t="inlineStr">
        <is>
          <t>12.11m x 9.70m</t>
        </is>
      </c>
      <c r="G227" s="98">
        <f>E227*120</f>
        <v/>
      </c>
      <c r="H227" s="95" t="n">
        <v>64</v>
      </c>
      <c r="I227" s="95" t="n">
        <v>145</v>
      </c>
      <c r="J227" s="99" t="inlineStr">
        <is>
          <t>Disponible</t>
        </is>
      </c>
    </row>
    <row r="228" ht="20" customHeight="1">
      <c r="A228" s="90" t="inlineStr">
        <is>
          <t>L227</t>
        </is>
      </c>
      <c r="B228" s="91" t="inlineStr">
        <is>
          <t>Lote 227</t>
        </is>
      </c>
      <c r="C228" s="90" t="inlineStr">
        <is>
          <t>M23</t>
        </is>
      </c>
      <c r="D228" s="91" t="inlineStr">
        <is>
          <t>Lote Tiny House</t>
        </is>
      </c>
      <c r="E228" s="92" t="n">
        <v>116.83</v>
      </c>
      <c r="F228" s="90" t="inlineStr">
        <is>
          <t>12.11m x 9.71m</t>
        </is>
      </c>
      <c r="G228" s="93">
        <f>E228*120</f>
        <v/>
      </c>
      <c r="H228" s="90" t="n">
        <v>64</v>
      </c>
      <c r="I228" s="90" t="n">
        <v>145</v>
      </c>
      <c r="J228" s="99" t="inlineStr">
        <is>
          <t>Disponible</t>
        </is>
      </c>
    </row>
    <row r="229" ht="20" customHeight="1">
      <c r="A229" s="95" t="inlineStr">
        <is>
          <t>L228</t>
        </is>
      </c>
      <c r="B229" s="96" t="inlineStr">
        <is>
          <t>Lote 228</t>
        </is>
      </c>
      <c r="C229" s="95" t="inlineStr">
        <is>
          <t>M23</t>
        </is>
      </c>
      <c r="D229" s="96" t="inlineStr">
        <is>
          <t>Lote Tiny House</t>
        </is>
      </c>
      <c r="E229" s="97" t="n">
        <v>116.99</v>
      </c>
      <c r="F229" s="95" t="inlineStr">
        <is>
          <t>12.11m x 9.72m</t>
        </is>
      </c>
      <c r="G229" s="98">
        <f>E229*120</f>
        <v/>
      </c>
      <c r="H229" s="95" t="n">
        <v>64</v>
      </c>
      <c r="I229" s="95" t="n">
        <v>145</v>
      </c>
      <c r="J229" s="99" t="inlineStr">
        <is>
          <t>Disponible</t>
        </is>
      </c>
    </row>
    <row r="230" ht="20" customHeight="1">
      <c r="A230" s="90" t="inlineStr">
        <is>
          <t>L229</t>
        </is>
      </c>
      <c r="B230" s="91" t="inlineStr">
        <is>
          <t>Lote 229</t>
        </is>
      </c>
      <c r="C230" s="90" t="inlineStr">
        <is>
          <t>M23</t>
        </is>
      </c>
      <c r="D230" s="91" t="inlineStr">
        <is>
          <t>Lote Tiny House</t>
        </is>
      </c>
      <c r="E230" s="92" t="n">
        <v>117.15</v>
      </c>
      <c r="F230" s="90" t="inlineStr">
        <is>
          <t>12.11m x 9.74m</t>
        </is>
      </c>
      <c r="G230" s="93">
        <f>E230*120</f>
        <v/>
      </c>
      <c r="H230" s="90" t="n">
        <v>64</v>
      </c>
      <c r="I230" s="90" t="n">
        <v>145</v>
      </c>
      <c r="J230" s="99" t="inlineStr">
        <is>
          <t>Separado</t>
        </is>
      </c>
    </row>
    <row r="231" ht="20" customHeight="1">
      <c r="A231" s="95" t="inlineStr">
        <is>
          <t>L230</t>
        </is>
      </c>
      <c r="B231" s="96" t="inlineStr">
        <is>
          <t>Lote 230</t>
        </is>
      </c>
      <c r="C231" s="95" t="inlineStr">
        <is>
          <t>M23</t>
        </is>
      </c>
      <c r="D231" s="96" t="inlineStr">
        <is>
          <t>Lote Tiny House</t>
        </is>
      </c>
      <c r="E231" s="97" t="n">
        <v>117.3</v>
      </c>
      <c r="F231" s="95" t="inlineStr">
        <is>
          <t>12.11m x 9.75m</t>
        </is>
      </c>
      <c r="G231" s="98">
        <f>E231*120</f>
        <v/>
      </c>
      <c r="H231" s="95" t="n">
        <v>64</v>
      </c>
      <c r="I231" s="95" t="n">
        <v>145</v>
      </c>
      <c r="J231" s="99" t="inlineStr">
        <is>
          <t>Disponible</t>
        </is>
      </c>
    </row>
    <row r="232" ht="20" customHeight="1">
      <c r="A232" s="90" t="inlineStr">
        <is>
          <t>L231</t>
        </is>
      </c>
      <c r="B232" s="91" t="inlineStr">
        <is>
          <t>Lote 231</t>
        </is>
      </c>
      <c r="C232" s="90" t="inlineStr">
        <is>
          <t>M23</t>
        </is>
      </c>
      <c r="D232" s="91" t="inlineStr">
        <is>
          <t>Lote Tiny House</t>
        </is>
      </c>
      <c r="E232" s="92" t="n">
        <v>117.46</v>
      </c>
      <c r="F232" s="90" t="inlineStr">
        <is>
          <t>12.11m x 9.76m</t>
        </is>
      </c>
      <c r="G232" s="93">
        <f>E232*120</f>
        <v/>
      </c>
      <c r="H232" s="90" t="n">
        <v>64</v>
      </c>
      <c r="I232" s="90" t="n">
        <v>145</v>
      </c>
      <c r="J232" s="94" t="inlineStr">
        <is>
          <t>Disponible</t>
        </is>
      </c>
    </row>
    <row r="233" ht="20" customHeight="1">
      <c r="A233" s="95" t="inlineStr">
        <is>
          <t>L232</t>
        </is>
      </c>
      <c r="B233" s="96" t="inlineStr">
        <is>
          <t>Lote 232</t>
        </is>
      </c>
      <c r="C233" s="95" t="inlineStr">
        <is>
          <t>M23</t>
        </is>
      </c>
      <c r="D233" s="96" t="inlineStr">
        <is>
          <t>Lote Tiny House</t>
        </is>
      </c>
      <c r="E233" s="97" t="n">
        <v>117.61</v>
      </c>
      <c r="F233" s="95" t="inlineStr">
        <is>
          <t>12.11m x 9.77m</t>
        </is>
      </c>
      <c r="G233" s="98">
        <f>E233*120</f>
        <v/>
      </c>
      <c r="H233" s="95" t="n">
        <v>64</v>
      </c>
      <c r="I233" s="95" t="n">
        <v>134</v>
      </c>
      <c r="J233" s="94" t="inlineStr">
        <is>
          <t>Disponible</t>
        </is>
      </c>
    </row>
    <row r="234" ht="20" customHeight="1">
      <c r="A234" s="90" t="inlineStr">
        <is>
          <t>L233</t>
        </is>
      </c>
      <c r="B234" s="91" t="inlineStr">
        <is>
          <t>Lote 233</t>
        </is>
      </c>
      <c r="C234" s="90" t="inlineStr">
        <is>
          <t>M23</t>
        </is>
      </c>
      <c r="D234" s="91" t="inlineStr">
        <is>
          <t>Lote Tiny House</t>
        </is>
      </c>
      <c r="E234" s="92" t="n">
        <v>115.91</v>
      </c>
      <c r="F234" s="90" t="inlineStr">
        <is>
          <t>12.11m x 9.64m</t>
        </is>
      </c>
      <c r="G234" s="93">
        <f>E234*120</f>
        <v/>
      </c>
      <c r="H234" s="90" t="n">
        <v>71</v>
      </c>
      <c r="I234" s="90" t="n">
        <v>108</v>
      </c>
      <c r="J234" s="99" t="inlineStr">
        <is>
          <t>Disponible</t>
        </is>
      </c>
    </row>
    <row r="235" ht="20" customHeight="1">
      <c r="A235" s="95" t="inlineStr">
        <is>
          <t>L234</t>
        </is>
      </c>
      <c r="B235" s="96" t="inlineStr">
        <is>
          <t>Lote 234</t>
        </is>
      </c>
      <c r="C235" s="95" t="inlineStr">
        <is>
          <t>M23</t>
        </is>
      </c>
      <c r="D235" s="96" t="inlineStr">
        <is>
          <t>Lote Tiny House</t>
        </is>
      </c>
      <c r="E235" s="97" t="n">
        <v>116.39</v>
      </c>
      <c r="F235" s="95" t="inlineStr">
        <is>
          <t>12.11m x 9.67m</t>
        </is>
      </c>
      <c r="G235" s="98">
        <f>E235*120</f>
        <v/>
      </c>
      <c r="H235" s="95" t="n">
        <v>73</v>
      </c>
      <c r="I235" s="95" t="n">
        <v>120</v>
      </c>
      <c r="J235" s="94" t="inlineStr">
        <is>
          <t>Disponible</t>
        </is>
      </c>
    </row>
    <row r="236" ht="20" customHeight="1">
      <c r="A236" s="90" t="inlineStr">
        <is>
          <t>L235</t>
        </is>
      </c>
      <c r="B236" s="91" t="inlineStr">
        <is>
          <t>Lote 235</t>
        </is>
      </c>
      <c r="C236" s="90" t="inlineStr">
        <is>
          <t>M23</t>
        </is>
      </c>
      <c r="D236" s="91" t="inlineStr">
        <is>
          <t>Lote Tiny House</t>
        </is>
      </c>
      <c r="E236" s="92" t="n">
        <v>116.54</v>
      </c>
      <c r="F236" s="90" t="inlineStr">
        <is>
          <t>12.11m x 9.68m</t>
        </is>
      </c>
      <c r="G236" s="93">
        <f>E236*120</f>
        <v/>
      </c>
      <c r="H236" s="90" t="n">
        <v>73</v>
      </c>
      <c r="I236" s="90" t="n">
        <v>132</v>
      </c>
      <c r="J236" s="99" t="inlineStr">
        <is>
          <t>Disponible</t>
        </is>
      </c>
    </row>
    <row r="237" ht="20" customHeight="1">
      <c r="A237" s="95" t="inlineStr">
        <is>
          <t>L236</t>
        </is>
      </c>
      <c r="B237" s="96" t="inlineStr">
        <is>
          <t>Lote 236</t>
        </is>
      </c>
      <c r="C237" s="95" t="inlineStr">
        <is>
          <t>M23</t>
        </is>
      </c>
      <c r="D237" s="96" t="inlineStr">
        <is>
          <t>Lote Tiny House</t>
        </is>
      </c>
      <c r="E237" s="97" t="n">
        <v>116.7</v>
      </c>
      <c r="F237" s="95" t="inlineStr">
        <is>
          <t>12.11m x 9.70m</t>
        </is>
      </c>
      <c r="G237" s="98">
        <f>E237*120</f>
        <v/>
      </c>
      <c r="H237" s="95" t="n">
        <v>73</v>
      </c>
      <c r="I237" s="95" t="n">
        <v>144</v>
      </c>
      <c r="J237" s="99" t="inlineStr">
        <is>
          <t>Disponible</t>
        </is>
      </c>
    </row>
    <row r="238" ht="20" customHeight="1">
      <c r="A238" s="90" t="inlineStr">
        <is>
          <t>L237</t>
        </is>
      </c>
      <c r="B238" s="91" t="inlineStr">
        <is>
          <t>Lote 237</t>
        </is>
      </c>
      <c r="C238" s="90" t="inlineStr">
        <is>
          <t>M23</t>
        </is>
      </c>
      <c r="D238" s="91" t="inlineStr">
        <is>
          <t>Lote Tiny House</t>
        </is>
      </c>
      <c r="E238" s="92" t="n">
        <v>116.85</v>
      </c>
      <c r="F238" s="90" t="inlineStr">
        <is>
          <t>12.11m x 9.71m</t>
        </is>
      </c>
      <c r="G238" s="93">
        <f>E238*120</f>
        <v/>
      </c>
      <c r="H238" s="90" t="n">
        <v>74</v>
      </c>
      <c r="I238" s="90" t="n">
        <v>145</v>
      </c>
      <c r="J238" s="94" t="inlineStr">
        <is>
          <t>Disponible</t>
        </is>
      </c>
    </row>
    <row r="239" ht="20" customHeight="1">
      <c r="A239" s="95" t="inlineStr">
        <is>
          <t>L238</t>
        </is>
      </c>
      <c r="B239" s="96" t="inlineStr">
        <is>
          <t>Lote 238</t>
        </is>
      </c>
      <c r="C239" s="95" t="inlineStr">
        <is>
          <t>M23</t>
        </is>
      </c>
      <c r="D239" s="96" t="inlineStr">
        <is>
          <t>Lote Tiny House</t>
        </is>
      </c>
      <c r="E239" s="97" t="n">
        <v>117.02</v>
      </c>
      <c r="F239" s="95" t="inlineStr">
        <is>
          <t>12.11m x 9.72m</t>
        </is>
      </c>
      <c r="G239" s="98">
        <f>E239*120</f>
        <v/>
      </c>
      <c r="H239" s="95" t="n">
        <v>74</v>
      </c>
      <c r="I239" s="95" t="n">
        <v>145</v>
      </c>
      <c r="J239" s="94" t="inlineStr">
        <is>
          <t>Disponible</t>
        </is>
      </c>
    </row>
    <row r="240" ht="20" customHeight="1">
      <c r="A240" s="90" t="inlineStr">
        <is>
          <t>L239</t>
        </is>
      </c>
      <c r="B240" s="91" t="inlineStr">
        <is>
          <t>Lote 239</t>
        </is>
      </c>
      <c r="C240" s="90" t="inlineStr">
        <is>
          <t>M23</t>
        </is>
      </c>
      <c r="D240" s="91" t="inlineStr">
        <is>
          <t>Lote Tiny House</t>
        </is>
      </c>
      <c r="E240" s="92" t="n">
        <v>117.17</v>
      </c>
      <c r="F240" s="90" t="inlineStr">
        <is>
          <t>12.11m x 9.74m</t>
        </is>
      </c>
      <c r="G240" s="93">
        <f>E240*120</f>
        <v/>
      </c>
      <c r="H240" s="90" t="n">
        <v>74</v>
      </c>
      <c r="I240" s="90" t="n">
        <v>145</v>
      </c>
      <c r="J240" s="99" t="inlineStr">
        <is>
          <t>Disponible</t>
        </is>
      </c>
    </row>
    <row r="241" ht="20" customHeight="1">
      <c r="A241" s="95" t="inlineStr">
        <is>
          <t>L240</t>
        </is>
      </c>
      <c r="B241" s="96" t="inlineStr">
        <is>
          <t>Lote 240</t>
        </is>
      </c>
      <c r="C241" s="95" t="inlineStr">
        <is>
          <t>M23</t>
        </is>
      </c>
      <c r="D241" s="96" t="inlineStr">
        <is>
          <t>Lote Tiny House</t>
        </is>
      </c>
      <c r="E241" s="97" t="n">
        <v>117.33</v>
      </c>
      <c r="F241" s="95" t="inlineStr">
        <is>
          <t>12.11m x 9.75m</t>
        </is>
      </c>
      <c r="G241" s="98">
        <f>E241*120</f>
        <v/>
      </c>
      <c r="H241" s="95" t="n">
        <v>74</v>
      </c>
      <c r="I241" s="95" t="n">
        <v>145</v>
      </c>
      <c r="J241" s="99" t="inlineStr">
        <is>
          <t>Disponible</t>
        </is>
      </c>
    </row>
    <row r="242" ht="20" customHeight="1">
      <c r="A242" s="90" t="inlineStr">
        <is>
          <t>L241</t>
        </is>
      </c>
      <c r="B242" s="91" t="inlineStr">
        <is>
          <t>Lote 241</t>
        </is>
      </c>
      <c r="C242" s="90" t="inlineStr">
        <is>
          <t>M23</t>
        </is>
      </c>
      <c r="D242" s="91" t="inlineStr">
        <is>
          <t>Lote Tiny House</t>
        </is>
      </c>
      <c r="E242" s="92" t="n">
        <v>117.49</v>
      </c>
      <c r="F242" s="90" t="inlineStr">
        <is>
          <t>12.11m x 9.76m</t>
        </is>
      </c>
      <c r="G242" s="93">
        <f>E242*120</f>
        <v/>
      </c>
      <c r="H242" s="90" t="n">
        <v>74</v>
      </c>
      <c r="I242" s="90" t="n">
        <v>145</v>
      </c>
      <c r="J242" s="99" t="inlineStr">
        <is>
          <t>Disponible</t>
        </is>
      </c>
    </row>
    <row r="243" ht="20" customHeight="1">
      <c r="A243" s="95" t="inlineStr">
        <is>
          <t>L242</t>
        </is>
      </c>
      <c r="B243" s="96" t="inlineStr">
        <is>
          <t>Lote 242</t>
        </is>
      </c>
      <c r="C243" s="95" t="inlineStr">
        <is>
          <t>M23</t>
        </is>
      </c>
      <c r="D243" s="96" t="inlineStr">
        <is>
          <t>Lote Tiny House</t>
        </is>
      </c>
      <c r="E243" s="97" t="n">
        <v>117.64</v>
      </c>
      <c r="F243" s="95" t="inlineStr">
        <is>
          <t>12.11m x 9.77m</t>
        </is>
      </c>
      <c r="G243" s="98">
        <f>E243*120</f>
        <v/>
      </c>
      <c r="H243" s="95" t="n">
        <v>74</v>
      </c>
      <c r="I243" s="95" t="n">
        <v>134</v>
      </c>
      <c r="J243" s="99" t="inlineStr">
        <is>
          <t>Disponible</t>
        </is>
      </c>
    </row>
    <row r="244" ht="20" customHeight="1">
      <c r="A244" s="90" t="inlineStr">
        <is>
          <t>L243</t>
        </is>
      </c>
      <c r="B244" s="91" t="inlineStr">
        <is>
          <t>Lote 243</t>
        </is>
      </c>
      <c r="C244" s="90" t="inlineStr">
        <is>
          <t>M24</t>
        </is>
      </c>
      <c r="D244" s="91" t="inlineStr">
        <is>
          <t>Lote Tiny House</t>
        </is>
      </c>
      <c r="E244" s="92" t="n">
        <v>122.46</v>
      </c>
      <c r="F244" s="90" t="inlineStr">
        <is>
          <t>12.58m x 9.78m</t>
        </is>
      </c>
      <c r="G244" s="93">
        <f>E244*120</f>
        <v/>
      </c>
      <c r="H244" s="90" t="n">
        <v>64</v>
      </c>
      <c r="I244" s="90" t="n">
        <v>116</v>
      </c>
      <c r="J244" s="94" t="inlineStr">
        <is>
          <t>Disponible</t>
        </is>
      </c>
    </row>
    <row r="245" ht="20" customHeight="1">
      <c r="A245" s="95" t="inlineStr">
        <is>
          <t>L244</t>
        </is>
      </c>
      <c r="B245" s="96" t="inlineStr">
        <is>
          <t>Lote 244</t>
        </is>
      </c>
      <c r="C245" s="95" t="inlineStr">
        <is>
          <t>M24</t>
        </is>
      </c>
      <c r="D245" s="96" t="inlineStr">
        <is>
          <t>Lote Tiny House</t>
        </is>
      </c>
      <c r="E245" s="97" t="n">
        <v>122.21</v>
      </c>
      <c r="F245" s="95" t="inlineStr">
        <is>
          <t>12.58m x 9.75m</t>
        </is>
      </c>
      <c r="G245" s="98">
        <f>E245*120</f>
        <v/>
      </c>
      <c r="H245" s="95" t="n">
        <v>64</v>
      </c>
      <c r="I245" s="95" t="n">
        <v>104</v>
      </c>
      <c r="J245" s="94" t="inlineStr">
        <is>
          <t>Disponible</t>
        </is>
      </c>
    </row>
    <row r="246" ht="20" customHeight="1">
      <c r="A246" s="90" t="inlineStr">
        <is>
          <t>L245</t>
        </is>
      </c>
      <c r="B246" s="91" t="inlineStr">
        <is>
          <t>Lote 245</t>
        </is>
      </c>
      <c r="C246" s="90" t="inlineStr">
        <is>
          <t>M24</t>
        </is>
      </c>
      <c r="D246" s="91" t="inlineStr">
        <is>
          <t>Lote Tiny House</t>
        </is>
      </c>
      <c r="E246" s="92" t="n">
        <v>121.82</v>
      </c>
      <c r="F246" s="90" t="inlineStr">
        <is>
          <t>12.58m x 9.73m</t>
        </is>
      </c>
      <c r="G246" s="93">
        <f>E246*120</f>
        <v/>
      </c>
      <c r="H246" s="90" t="n">
        <v>62</v>
      </c>
      <c r="I246" s="90" t="n">
        <v>91</v>
      </c>
      <c r="J246" s="99" t="inlineStr">
        <is>
          <t>Disponible</t>
        </is>
      </c>
    </row>
    <row r="247" ht="20" customHeight="1">
      <c r="A247" s="95" t="inlineStr">
        <is>
          <t>L246</t>
        </is>
      </c>
      <c r="B247" s="96" t="inlineStr">
        <is>
          <t>Lote 246</t>
        </is>
      </c>
      <c r="C247" s="95" t="inlineStr">
        <is>
          <t>M24</t>
        </is>
      </c>
      <c r="D247" s="96" t="inlineStr">
        <is>
          <t>Lote Tiny House</t>
        </is>
      </c>
      <c r="E247" s="97" t="n">
        <v>121.53</v>
      </c>
      <c r="F247" s="95" t="inlineStr">
        <is>
          <t>12.58m x 9.71m</t>
        </is>
      </c>
      <c r="G247" s="98">
        <f>E247*120</f>
        <v/>
      </c>
      <c r="H247" s="95" t="n">
        <v>62</v>
      </c>
      <c r="I247" s="95" t="n">
        <v>79</v>
      </c>
      <c r="J247" s="94" t="inlineStr">
        <is>
          <t>Disponible</t>
        </is>
      </c>
    </row>
    <row r="248" ht="20" customHeight="1">
      <c r="A248" s="90" t="inlineStr">
        <is>
          <t>L247</t>
        </is>
      </c>
      <c r="B248" s="91" t="inlineStr">
        <is>
          <t>Lote 247</t>
        </is>
      </c>
      <c r="C248" s="90" t="inlineStr">
        <is>
          <t>M24</t>
        </is>
      </c>
      <c r="D248" s="91" t="inlineStr">
        <is>
          <t>Lote Tiny House</t>
        </is>
      </c>
      <c r="E248" s="92" t="n">
        <v>121.5</v>
      </c>
      <c r="F248" s="90" t="inlineStr">
        <is>
          <t>12.59m x 9.70m</t>
        </is>
      </c>
      <c r="G248" s="93">
        <f>E248*120</f>
        <v/>
      </c>
      <c r="H248" s="90" t="n">
        <v>61</v>
      </c>
      <c r="I248" s="90" t="n">
        <v>65</v>
      </c>
      <c r="J248" s="99" t="inlineStr">
        <is>
          <t>Disponible</t>
        </is>
      </c>
    </row>
    <row r="249" ht="20" customHeight="1">
      <c r="A249" s="95" t="inlineStr">
        <is>
          <t>L248</t>
        </is>
      </c>
      <c r="B249" s="96" t="inlineStr">
        <is>
          <t>Lote 248</t>
        </is>
      </c>
      <c r="C249" s="95" t="inlineStr">
        <is>
          <t>M24</t>
        </is>
      </c>
      <c r="D249" s="96" t="inlineStr">
        <is>
          <t>Lote Tiny House</t>
        </is>
      </c>
      <c r="E249" s="97" t="n">
        <v>121.52</v>
      </c>
      <c r="F249" s="95" t="inlineStr">
        <is>
          <t>12.59m x 9.71m</t>
        </is>
      </c>
      <c r="G249" s="98">
        <f>E249*120</f>
        <v/>
      </c>
      <c r="H249" s="95" t="n">
        <v>61</v>
      </c>
      <c r="I249" s="95" t="n">
        <v>53</v>
      </c>
      <c r="J249" s="99" t="inlineStr">
        <is>
          <t>Disponible</t>
        </is>
      </c>
    </row>
    <row r="250" ht="20" customHeight="1">
      <c r="A250" s="90" t="inlineStr">
        <is>
          <t>L249</t>
        </is>
      </c>
      <c r="B250" s="91" t="inlineStr">
        <is>
          <t>Lote 249</t>
        </is>
      </c>
      <c r="C250" s="90" t="inlineStr">
        <is>
          <t>M24</t>
        </is>
      </c>
      <c r="D250" s="91" t="inlineStr">
        <is>
          <t>Lote Tiny House</t>
        </is>
      </c>
      <c r="E250" s="92" t="n">
        <v>121.71</v>
      </c>
      <c r="F250" s="90" t="inlineStr">
        <is>
          <t>12.59m x 9.74m</t>
        </is>
      </c>
      <c r="G250" s="93">
        <f>E250*120</f>
        <v/>
      </c>
      <c r="H250" s="90" t="n">
        <v>61</v>
      </c>
      <c r="I250" s="90" t="n">
        <v>40</v>
      </c>
      <c r="J250" s="99" t="inlineStr">
        <is>
          <t>Disponible</t>
        </is>
      </c>
    </row>
    <row r="251" ht="20" customHeight="1">
      <c r="A251" s="95" t="inlineStr">
        <is>
          <t>L250</t>
        </is>
      </c>
      <c r="B251" s="96" t="inlineStr">
        <is>
          <t>Lote 250</t>
        </is>
      </c>
      <c r="C251" s="95" t="inlineStr">
        <is>
          <t>M24</t>
        </is>
      </c>
      <c r="D251" s="96" t="inlineStr">
        <is>
          <t>Lote Tiny House</t>
        </is>
      </c>
      <c r="E251" s="97" t="n">
        <v>122.09</v>
      </c>
      <c r="F251" s="95" t="inlineStr">
        <is>
          <t>12.59m x 9.77m</t>
        </is>
      </c>
      <c r="G251" s="98">
        <f>E251*120</f>
        <v/>
      </c>
      <c r="H251" s="95" t="n">
        <v>61</v>
      </c>
      <c r="I251" s="95" t="n">
        <v>28</v>
      </c>
      <c r="J251" s="99" t="inlineStr">
        <is>
          <t>Disponible</t>
        </is>
      </c>
    </row>
    <row r="252" ht="20" customHeight="1">
      <c r="A252" s="90" t="inlineStr">
        <is>
          <t>L251</t>
        </is>
      </c>
      <c r="B252" s="91" t="inlineStr">
        <is>
          <t>Lote 251</t>
        </is>
      </c>
      <c r="C252" s="90" t="inlineStr">
        <is>
          <t>M24</t>
        </is>
      </c>
      <c r="D252" s="91" t="inlineStr">
        <is>
          <t>Lote Tiny House</t>
        </is>
      </c>
      <c r="E252" s="92" t="n">
        <v>122.62</v>
      </c>
      <c r="F252" s="90" t="inlineStr">
        <is>
          <t>12.59m x 9.82m</t>
        </is>
      </c>
      <c r="G252" s="93">
        <f>E252*120</f>
        <v/>
      </c>
      <c r="H252" s="90" t="n">
        <v>62</v>
      </c>
      <c r="I252" s="90" t="n">
        <v>15</v>
      </c>
      <c r="J252" s="99" t="inlineStr">
        <is>
          <t>Disponible</t>
        </is>
      </c>
    </row>
    <row r="253" ht="20" customHeight="1">
      <c r="A253" s="95" t="inlineStr">
        <is>
          <t>L252</t>
        </is>
      </c>
      <c r="B253" s="96" t="inlineStr">
        <is>
          <t>Lote 252</t>
        </is>
      </c>
      <c r="C253" s="95" t="inlineStr">
        <is>
          <t>M24</t>
        </is>
      </c>
      <c r="D253" s="96" t="inlineStr">
        <is>
          <t>Lote Tiny House</t>
        </is>
      </c>
      <c r="E253" s="97" t="n">
        <v>122.47</v>
      </c>
      <c r="F253" s="95" t="inlineStr">
        <is>
          <t>12.58m x 9.78m</t>
        </is>
      </c>
      <c r="G253" s="98">
        <f>E253*120</f>
        <v/>
      </c>
      <c r="H253" s="95" t="n">
        <v>74</v>
      </c>
      <c r="I253" s="95" t="n">
        <v>116</v>
      </c>
      <c r="J253" s="99" t="inlineStr">
        <is>
          <t>Disponible</t>
        </is>
      </c>
    </row>
    <row r="254" ht="20" customHeight="1">
      <c r="A254" s="90" t="inlineStr">
        <is>
          <t>L253</t>
        </is>
      </c>
      <c r="B254" s="91" t="inlineStr">
        <is>
          <t>Lote 253</t>
        </is>
      </c>
      <c r="C254" s="90" t="inlineStr">
        <is>
          <t>M24</t>
        </is>
      </c>
      <c r="D254" s="91" t="inlineStr">
        <is>
          <t>Lote Tiny House</t>
        </is>
      </c>
      <c r="E254" s="92" t="n">
        <v>122.2</v>
      </c>
      <c r="F254" s="90" t="inlineStr">
        <is>
          <t>12.58m x 9.75m</t>
        </is>
      </c>
      <c r="G254" s="93">
        <f>E254*120</f>
        <v/>
      </c>
      <c r="H254" s="90" t="n">
        <v>73</v>
      </c>
      <c r="I254" s="90" t="n">
        <v>104</v>
      </c>
      <c r="J254" s="99" t="inlineStr">
        <is>
          <t>Disponible</t>
        </is>
      </c>
    </row>
    <row r="255" ht="20" customHeight="1">
      <c r="A255" s="95" t="inlineStr">
        <is>
          <t>L254</t>
        </is>
      </c>
      <c r="B255" s="96" t="inlineStr">
        <is>
          <t>Lote 254</t>
        </is>
      </c>
      <c r="C255" s="95" t="inlineStr">
        <is>
          <t>M24</t>
        </is>
      </c>
      <c r="D255" s="96" t="inlineStr">
        <is>
          <t>Lote Tiny House</t>
        </is>
      </c>
      <c r="E255" s="97" t="n">
        <v>121.82</v>
      </c>
      <c r="F255" s="95" t="inlineStr">
        <is>
          <t>12.58m x 9.73m</t>
        </is>
      </c>
      <c r="G255" s="98">
        <f>E255*120</f>
        <v/>
      </c>
      <c r="H255" s="95" t="n">
        <v>72</v>
      </c>
      <c r="I255" s="95" t="n">
        <v>91</v>
      </c>
      <c r="J255" s="99" t="inlineStr">
        <is>
          <t>Disponible</t>
        </is>
      </c>
    </row>
    <row r="256" ht="20" customHeight="1">
      <c r="A256" s="90" t="inlineStr">
        <is>
          <t>L255</t>
        </is>
      </c>
      <c r="B256" s="91" t="inlineStr">
        <is>
          <t>Lote 255</t>
        </is>
      </c>
      <c r="C256" s="90" t="inlineStr">
        <is>
          <t>M24</t>
        </is>
      </c>
      <c r="D256" s="91" t="inlineStr">
        <is>
          <t>Lote Tiny House</t>
        </is>
      </c>
      <c r="E256" s="92" t="n">
        <v>121.54</v>
      </c>
      <c r="F256" s="90" t="inlineStr">
        <is>
          <t>12.58m x 9.71m</t>
        </is>
      </c>
      <c r="G256" s="93">
        <f>E256*120</f>
        <v/>
      </c>
      <c r="H256" s="90" t="n">
        <v>71</v>
      </c>
      <c r="I256" s="90" t="n">
        <v>79</v>
      </c>
      <c r="J256" s="99" t="inlineStr">
        <is>
          <t>Disponible</t>
        </is>
      </c>
    </row>
    <row r="257" ht="20" customHeight="1">
      <c r="A257" s="95" t="inlineStr">
        <is>
          <t>L256</t>
        </is>
      </c>
      <c r="B257" s="96" t="inlineStr">
        <is>
          <t>Lote 256</t>
        </is>
      </c>
      <c r="C257" s="95" t="inlineStr">
        <is>
          <t>M24</t>
        </is>
      </c>
      <c r="D257" s="96" t="inlineStr">
        <is>
          <t>Lote Tiny House</t>
        </is>
      </c>
      <c r="E257" s="97" t="n">
        <v>121.53</v>
      </c>
      <c r="F257" s="95" t="inlineStr">
        <is>
          <t>12.59m x 9.70m</t>
        </is>
      </c>
      <c r="G257" s="98">
        <f>E257*120</f>
        <v/>
      </c>
      <c r="H257" s="95" t="n">
        <v>71</v>
      </c>
      <c r="I257" s="95" t="n">
        <v>66</v>
      </c>
      <c r="J257" s="99" t="inlineStr">
        <is>
          <t>Disponible</t>
        </is>
      </c>
    </row>
    <row r="258" ht="20" customHeight="1">
      <c r="A258" s="90" t="inlineStr">
        <is>
          <t>L257</t>
        </is>
      </c>
      <c r="B258" s="91" t="inlineStr">
        <is>
          <t>Lote 257</t>
        </is>
      </c>
      <c r="C258" s="90" t="inlineStr">
        <is>
          <t>M24</t>
        </is>
      </c>
      <c r="D258" s="91" t="inlineStr">
        <is>
          <t>Lote Tiny House</t>
        </is>
      </c>
      <c r="E258" s="92" t="n">
        <v>121.56</v>
      </c>
      <c r="F258" s="90" t="inlineStr">
        <is>
          <t>12.59m x 9.71m</t>
        </is>
      </c>
      <c r="G258" s="93">
        <f>E258*120</f>
        <v/>
      </c>
      <c r="H258" s="90" t="n">
        <v>70</v>
      </c>
      <c r="I258" s="90" t="n">
        <v>53</v>
      </c>
      <c r="J258" s="99" t="inlineStr">
        <is>
          <t>Disponible</t>
        </is>
      </c>
    </row>
    <row r="259" ht="20" customHeight="1">
      <c r="A259" s="95" t="inlineStr">
        <is>
          <t>L258</t>
        </is>
      </c>
      <c r="B259" s="96" t="inlineStr">
        <is>
          <t>Lote 258</t>
        </is>
      </c>
      <c r="C259" s="95" t="inlineStr">
        <is>
          <t>M24</t>
        </is>
      </c>
      <c r="D259" s="96" t="inlineStr">
        <is>
          <t>Lote Tiny House</t>
        </is>
      </c>
      <c r="E259" s="97" t="n">
        <v>121.77</v>
      </c>
      <c r="F259" s="95" t="inlineStr">
        <is>
          <t>12.59m x 9.74m</t>
        </is>
      </c>
      <c r="G259" s="98">
        <f>E259*120</f>
        <v/>
      </c>
      <c r="H259" s="95" t="n">
        <v>71</v>
      </c>
      <c r="I259" s="95" t="n">
        <v>40</v>
      </c>
      <c r="J259" s="94" t="inlineStr">
        <is>
          <t>Disponible</t>
        </is>
      </c>
    </row>
    <row r="260" ht="20" customHeight="1">
      <c r="A260" s="90" t="inlineStr">
        <is>
          <t>L259</t>
        </is>
      </c>
      <c r="B260" s="91" t="inlineStr">
        <is>
          <t>Lote 259</t>
        </is>
      </c>
      <c r="C260" s="90" t="inlineStr">
        <is>
          <t>M24</t>
        </is>
      </c>
      <c r="D260" s="91" t="inlineStr">
        <is>
          <t>Lote Tiny House</t>
        </is>
      </c>
      <c r="E260" s="92" t="n">
        <v>122.16</v>
      </c>
      <c r="F260" s="90" t="inlineStr">
        <is>
          <t>12.59m x 9.77m</t>
        </is>
      </c>
      <c r="G260" s="93">
        <f>E260*120</f>
        <v/>
      </c>
      <c r="H260" s="90" t="n">
        <v>71</v>
      </c>
      <c r="I260" s="90" t="n">
        <v>28</v>
      </c>
      <c r="J260" s="94" t="inlineStr">
        <is>
          <t>Disponible</t>
        </is>
      </c>
    </row>
    <row r="261" ht="20" customHeight="1">
      <c r="A261" s="95" t="inlineStr">
        <is>
          <t>L260</t>
        </is>
      </c>
      <c r="B261" s="96" t="inlineStr">
        <is>
          <t>Lote 260</t>
        </is>
      </c>
      <c r="C261" s="95" t="inlineStr">
        <is>
          <t>M24</t>
        </is>
      </c>
      <c r="D261" s="96" t="inlineStr">
        <is>
          <t>Lote Tiny House</t>
        </is>
      </c>
      <c r="E261" s="97" t="n">
        <v>122.71</v>
      </c>
      <c r="F261" s="95" t="inlineStr">
        <is>
          <t>12.59m x 9.82m</t>
        </is>
      </c>
      <c r="G261" s="98">
        <f>E261*120</f>
        <v/>
      </c>
      <c r="H261" s="95" t="n">
        <v>72</v>
      </c>
      <c r="I261" s="95" t="n">
        <v>15</v>
      </c>
      <c r="J261" s="99" t="inlineStr">
        <is>
          <t>Disponible</t>
        </is>
      </c>
    </row>
    <row r="262" ht="20" customHeight="1">
      <c r="A262" s="90" t="inlineStr">
        <is>
          <t>L261</t>
        </is>
      </c>
      <c r="B262" s="91" t="inlineStr">
        <is>
          <t>Lote 261</t>
        </is>
      </c>
      <c r="C262" s="90" t="inlineStr">
        <is>
          <t>M25</t>
        </is>
      </c>
      <c r="D262" s="91" t="inlineStr">
        <is>
          <t>Lote Estándar</t>
        </is>
      </c>
      <c r="E262" s="92" t="n">
        <v>158.48</v>
      </c>
      <c r="F262" s="90" t="inlineStr">
        <is>
          <t>12.21m x 13.06m</t>
        </is>
      </c>
      <c r="G262" s="93">
        <f>E262*120</f>
        <v/>
      </c>
      <c r="H262" s="90" t="n">
        <v>89</v>
      </c>
      <c r="I262" s="90" t="n">
        <v>15</v>
      </c>
      <c r="J262" s="99" t="inlineStr">
        <is>
          <t>Disponible</t>
        </is>
      </c>
    </row>
    <row r="263" ht="20" customHeight="1">
      <c r="A263" s="95" t="inlineStr">
        <is>
          <t>L262</t>
        </is>
      </c>
      <c r="B263" s="96" t="inlineStr">
        <is>
          <t>Lote 262</t>
        </is>
      </c>
      <c r="C263" s="95" t="inlineStr">
        <is>
          <t>M25</t>
        </is>
      </c>
      <c r="D263" s="96" t="inlineStr">
        <is>
          <t>Lote Estándar</t>
        </is>
      </c>
      <c r="E263" s="97" t="n">
        <v>158.2</v>
      </c>
      <c r="F263" s="95" t="inlineStr">
        <is>
          <t>12.21m x 13.04m</t>
        </is>
      </c>
      <c r="G263" s="98">
        <f>E263*120</f>
        <v/>
      </c>
      <c r="H263" s="95" t="n">
        <v>89</v>
      </c>
      <c r="I263" s="95" t="n">
        <v>27</v>
      </c>
      <c r="J263" s="99" t="inlineStr">
        <is>
          <t>Disponible</t>
        </is>
      </c>
    </row>
    <row r="264" ht="20" customHeight="1">
      <c r="A264" s="90" t="inlineStr">
        <is>
          <t>L263</t>
        </is>
      </c>
      <c r="B264" s="91" t="inlineStr">
        <is>
          <t>Lote 263</t>
        </is>
      </c>
      <c r="C264" s="90" t="inlineStr">
        <is>
          <t>M25</t>
        </is>
      </c>
      <c r="D264" s="91" t="inlineStr">
        <is>
          <t>Lote Estándar</t>
        </is>
      </c>
      <c r="E264" s="92" t="n">
        <v>158.11</v>
      </c>
      <c r="F264" s="90" t="inlineStr">
        <is>
          <t>12.21m x 13.04m</t>
        </is>
      </c>
      <c r="G264" s="93">
        <f>E264*120</f>
        <v/>
      </c>
      <c r="H264" s="90" t="n">
        <v>88</v>
      </c>
      <c r="I264" s="90" t="n">
        <v>39</v>
      </c>
      <c r="J264" s="99" t="inlineStr">
        <is>
          <t>Disponible</t>
        </is>
      </c>
    </row>
    <row r="265" ht="20" customHeight="1">
      <c r="A265" s="95" t="inlineStr">
        <is>
          <t>L264</t>
        </is>
      </c>
      <c r="B265" s="96" t="inlineStr">
        <is>
          <t>Lote 264</t>
        </is>
      </c>
      <c r="C265" s="95" t="inlineStr">
        <is>
          <t>M25</t>
        </is>
      </c>
      <c r="D265" s="96" t="inlineStr">
        <is>
          <t>Lote Estándar</t>
        </is>
      </c>
      <c r="E265" s="97" t="n">
        <v>158.54</v>
      </c>
      <c r="F265" s="95" t="inlineStr">
        <is>
          <t>12.23m x 13.05m</t>
        </is>
      </c>
      <c r="G265" s="98">
        <f>E265*120</f>
        <v/>
      </c>
      <c r="H265" s="95" t="n">
        <v>88</v>
      </c>
      <c r="I265" s="95" t="n">
        <v>52</v>
      </c>
      <c r="J265" s="99" t="inlineStr">
        <is>
          <t>Disponible</t>
        </is>
      </c>
    </row>
    <row r="266" ht="20" customHeight="1">
      <c r="A266" s="90" t="inlineStr">
        <is>
          <t>L265</t>
        </is>
      </c>
      <c r="B266" s="91" t="inlineStr">
        <is>
          <t>Lote 265</t>
        </is>
      </c>
      <c r="C266" s="90" t="inlineStr">
        <is>
          <t>M25</t>
        </is>
      </c>
      <c r="D266" s="91" t="inlineStr">
        <is>
          <t>Lote Estándar</t>
        </is>
      </c>
      <c r="E266" s="92" t="n">
        <v>158.9</v>
      </c>
      <c r="F266" s="90" t="inlineStr">
        <is>
          <t>12.23m x 13.09m</t>
        </is>
      </c>
      <c r="G266" s="93">
        <f>E266*120</f>
        <v/>
      </c>
      <c r="H266" s="90" t="n">
        <v>88</v>
      </c>
      <c r="I266" s="90" t="n">
        <v>64</v>
      </c>
      <c r="J266" s="99" t="inlineStr">
        <is>
          <t>Disponible</t>
        </is>
      </c>
    </row>
    <row r="267" ht="20" customHeight="1">
      <c r="A267" s="95" t="inlineStr">
        <is>
          <t>L266</t>
        </is>
      </c>
      <c r="B267" s="96" t="inlineStr">
        <is>
          <t>Lote 266</t>
        </is>
      </c>
      <c r="C267" s="95" t="inlineStr">
        <is>
          <t>M25</t>
        </is>
      </c>
      <c r="D267" s="96" t="inlineStr">
        <is>
          <t>Lote Estándar</t>
        </is>
      </c>
      <c r="E267" s="97" t="n">
        <v>159.48</v>
      </c>
      <c r="F267" s="95" t="inlineStr">
        <is>
          <t>12.23m x 13.14m</t>
        </is>
      </c>
      <c r="G267" s="98">
        <f>E267*120</f>
        <v/>
      </c>
      <c r="H267" s="95" t="n">
        <v>88</v>
      </c>
      <c r="I267" s="95" t="n">
        <v>76</v>
      </c>
      <c r="J267" s="99" t="inlineStr">
        <is>
          <t>Disponible</t>
        </is>
      </c>
    </row>
    <row r="268" ht="20" customHeight="1">
      <c r="A268" s="90" t="inlineStr">
        <is>
          <t>L267</t>
        </is>
      </c>
      <c r="B268" s="91" t="inlineStr">
        <is>
          <t>Lote 267</t>
        </is>
      </c>
      <c r="C268" s="90" t="inlineStr">
        <is>
          <t>M25</t>
        </is>
      </c>
      <c r="D268" s="91" t="inlineStr">
        <is>
          <t>Lote Estándar</t>
        </is>
      </c>
      <c r="E268" s="92" t="n">
        <v>160.24</v>
      </c>
      <c r="F268" s="90" t="inlineStr">
        <is>
          <t>12.23m x 13.20m</t>
        </is>
      </c>
      <c r="G268" s="93">
        <f>E268*120</f>
        <v/>
      </c>
      <c r="H268" s="90" t="n">
        <v>89</v>
      </c>
      <c r="I268" s="90" t="n">
        <v>88</v>
      </c>
      <c r="J268" s="99" t="inlineStr">
        <is>
          <t>Disponible</t>
        </is>
      </c>
    </row>
    <row r="269" ht="20" customHeight="1">
      <c r="A269" s="95" t="inlineStr">
        <is>
          <t>L268</t>
        </is>
      </c>
      <c r="B269" s="96" t="inlineStr">
        <is>
          <t>Lote 268</t>
        </is>
      </c>
      <c r="C269" s="95" t="inlineStr">
        <is>
          <t>M26</t>
        </is>
      </c>
      <c r="D269" s="96" t="inlineStr">
        <is>
          <t>Lote Estándar</t>
        </is>
      </c>
      <c r="E269" s="97" t="n">
        <v>160.06</v>
      </c>
      <c r="F269" s="95" t="inlineStr">
        <is>
          <t>12.12m x 13.30m</t>
        </is>
      </c>
      <c r="G269" s="98">
        <f>E269*120</f>
        <v/>
      </c>
      <c r="H269" s="95" t="n">
        <v>91</v>
      </c>
      <c r="I269" s="95" t="n">
        <v>105</v>
      </c>
      <c r="J269" s="99" t="inlineStr">
        <is>
          <t>Disponible</t>
        </is>
      </c>
    </row>
    <row r="270" ht="20" customHeight="1">
      <c r="A270" s="90" t="inlineStr">
        <is>
          <t>L269</t>
        </is>
      </c>
      <c r="B270" s="91" t="inlineStr">
        <is>
          <t>Lote 269</t>
        </is>
      </c>
      <c r="C270" s="90" t="inlineStr">
        <is>
          <t>M26</t>
        </is>
      </c>
      <c r="D270" s="91" t="inlineStr">
        <is>
          <t>Lote Estándar</t>
        </is>
      </c>
      <c r="E270" s="92" t="n">
        <v>160.61</v>
      </c>
      <c r="F270" s="90" t="inlineStr">
        <is>
          <t>12.12m x 13.34m</t>
        </is>
      </c>
      <c r="G270" s="93">
        <f>E270*120</f>
        <v/>
      </c>
      <c r="H270" s="90" t="n">
        <v>92</v>
      </c>
      <c r="I270" s="90" t="n">
        <v>117</v>
      </c>
      <c r="J270" s="99" t="inlineStr">
        <is>
          <t>Disponible</t>
        </is>
      </c>
    </row>
    <row r="271" ht="20" customHeight="1">
      <c r="A271" s="95" t="inlineStr">
        <is>
          <t>L270</t>
        </is>
      </c>
      <c r="B271" s="96" t="inlineStr">
        <is>
          <t>Lote 270</t>
        </is>
      </c>
      <c r="C271" s="95" t="inlineStr">
        <is>
          <t>M26</t>
        </is>
      </c>
      <c r="D271" s="96" t="inlineStr">
        <is>
          <t>Lote Estándar</t>
        </is>
      </c>
      <c r="E271" s="97" t="n">
        <v>160.83</v>
      </c>
      <c r="F271" s="95" t="inlineStr">
        <is>
          <t>12.12m x 13.36m</t>
        </is>
      </c>
      <c r="G271" s="98">
        <f>E271*120</f>
        <v/>
      </c>
      <c r="H271" s="95" t="n">
        <v>93</v>
      </c>
      <c r="I271" s="95" t="n">
        <v>129</v>
      </c>
      <c r="J271" s="99" t="inlineStr">
        <is>
          <t>Disponible</t>
        </is>
      </c>
    </row>
    <row r="272" ht="20" customHeight="1">
      <c r="A272" s="90" t="inlineStr">
        <is>
          <t>L271</t>
        </is>
      </c>
      <c r="B272" s="91" t="inlineStr">
        <is>
          <t>Lote 271</t>
        </is>
      </c>
      <c r="C272" s="90" t="inlineStr">
        <is>
          <t>M26</t>
        </is>
      </c>
      <c r="D272" s="91" t="inlineStr">
        <is>
          <t>Lote Estándar</t>
        </is>
      </c>
      <c r="E272" s="92" t="n">
        <v>161.04</v>
      </c>
      <c r="F272" s="90" t="inlineStr">
        <is>
          <t>12.12m x 13.38m</t>
        </is>
      </c>
      <c r="G272" s="93">
        <f>E272*120</f>
        <v/>
      </c>
      <c r="H272" s="90" t="n">
        <v>93</v>
      </c>
      <c r="I272" s="90" t="n">
        <v>142</v>
      </c>
      <c r="J272" s="99" t="inlineStr">
        <is>
          <t>Disponible</t>
        </is>
      </c>
    </row>
    <row r="273" ht="20" customHeight="1">
      <c r="A273" s="95" t="inlineStr">
        <is>
          <t>L272</t>
        </is>
      </c>
      <c r="B273" s="96" t="inlineStr">
        <is>
          <t>Lote 272</t>
        </is>
      </c>
      <c r="C273" s="95" t="inlineStr">
        <is>
          <t>M26</t>
        </is>
      </c>
      <c r="D273" s="96" t="inlineStr">
        <is>
          <t>Lote Estándar</t>
        </is>
      </c>
      <c r="E273" s="97" t="n">
        <v>161.26</v>
      </c>
      <c r="F273" s="95" t="inlineStr">
        <is>
          <t>12.12m x 13.39m</t>
        </is>
      </c>
      <c r="G273" s="98">
        <f>E273*120</f>
        <v/>
      </c>
      <c r="H273" s="95" t="n">
        <v>93</v>
      </c>
      <c r="I273" s="95" t="n">
        <v>145</v>
      </c>
      <c r="J273" s="99" t="inlineStr">
        <is>
          <t>Disponible</t>
        </is>
      </c>
    </row>
    <row r="274" ht="20" customHeight="1">
      <c r="A274" s="90" t="inlineStr">
        <is>
          <t>L273</t>
        </is>
      </c>
      <c r="B274" s="91" t="inlineStr">
        <is>
          <t>Lote 273</t>
        </is>
      </c>
      <c r="C274" s="90" t="inlineStr">
        <is>
          <t>M26</t>
        </is>
      </c>
      <c r="D274" s="91" t="inlineStr">
        <is>
          <t>Lote Estándar</t>
        </is>
      </c>
      <c r="E274" s="92" t="n">
        <v>161.48</v>
      </c>
      <c r="F274" s="90" t="inlineStr">
        <is>
          <t>12.12m x 13.41m</t>
        </is>
      </c>
      <c r="G274" s="93">
        <f>E274*120</f>
        <v/>
      </c>
      <c r="H274" s="90" t="n">
        <v>93</v>
      </c>
      <c r="I274" s="90" t="n">
        <v>145</v>
      </c>
      <c r="J274" s="99" t="inlineStr">
        <is>
          <t>Disponible</t>
        </is>
      </c>
    </row>
    <row r="275" ht="20" customHeight="1">
      <c r="A275" s="95" t="inlineStr">
        <is>
          <t>L274</t>
        </is>
      </c>
      <c r="B275" s="96" t="inlineStr">
        <is>
          <t>Lote 274</t>
        </is>
      </c>
      <c r="C275" s="95" t="inlineStr">
        <is>
          <t>M26</t>
        </is>
      </c>
      <c r="D275" s="96" t="inlineStr">
        <is>
          <t>Lote Estándar</t>
        </is>
      </c>
      <c r="E275" s="97" t="n">
        <v>161.7</v>
      </c>
      <c r="F275" s="95" t="inlineStr">
        <is>
          <t>12.12m x 13.43m</t>
        </is>
      </c>
      <c r="G275" s="98">
        <f>E275*120</f>
        <v/>
      </c>
      <c r="H275" s="95" t="n">
        <v>94</v>
      </c>
      <c r="I275" s="95" t="n">
        <v>145</v>
      </c>
      <c r="J275" s="99" t="inlineStr">
        <is>
          <t>Disponible</t>
        </is>
      </c>
    </row>
    <row r="276" ht="20" customHeight="1">
      <c r="A276" s="90" t="inlineStr">
        <is>
          <t>L275</t>
        </is>
      </c>
      <c r="B276" s="91" t="inlineStr">
        <is>
          <t>Lote 275</t>
        </is>
      </c>
      <c r="C276" s="90" t="inlineStr">
        <is>
          <t>M26</t>
        </is>
      </c>
      <c r="D276" s="91" t="inlineStr">
        <is>
          <t>Lote Estándar</t>
        </is>
      </c>
      <c r="E276" s="92" t="n">
        <v>161.91</v>
      </c>
      <c r="F276" s="90" t="inlineStr">
        <is>
          <t>12.12m x 13.45m</t>
        </is>
      </c>
      <c r="G276" s="93">
        <f>E276*120</f>
        <v/>
      </c>
      <c r="H276" s="90" t="n">
        <v>94</v>
      </c>
      <c r="I276" s="90" t="n">
        <v>145</v>
      </c>
      <c r="J276" s="99" t="inlineStr">
        <is>
          <t>Disponible</t>
        </is>
      </c>
    </row>
    <row r="277" ht="20" customHeight="1">
      <c r="A277" s="95" t="inlineStr">
        <is>
          <t>L276</t>
        </is>
      </c>
      <c r="B277" s="96" t="inlineStr">
        <is>
          <t>Lote 276</t>
        </is>
      </c>
      <c r="C277" s="95" t="inlineStr">
        <is>
          <t>M26</t>
        </is>
      </c>
      <c r="D277" s="96" t="inlineStr">
        <is>
          <t>Lote Estándar</t>
        </is>
      </c>
      <c r="E277" s="97" t="n">
        <v>162.13</v>
      </c>
      <c r="F277" s="95" t="inlineStr">
        <is>
          <t>12.12m x 13.46m</t>
        </is>
      </c>
      <c r="G277" s="98">
        <f>E277*120</f>
        <v/>
      </c>
      <c r="H277" s="95" t="n">
        <v>94</v>
      </c>
      <c r="I277" s="95" t="n">
        <v>145</v>
      </c>
      <c r="J277" s="99" t="inlineStr">
        <is>
          <t>Disponible</t>
        </is>
      </c>
    </row>
    <row r="278" ht="20" customHeight="1">
      <c r="A278" s="90" t="inlineStr">
        <is>
          <t>L277</t>
        </is>
      </c>
      <c r="B278" s="91" t="inlineStr">
        <is>
          <t>Lote 277</t>
        </is>
      </c>
      <c r="C278" s="90" t="inlineStr">
        <is>
          <t>M26</t>
        </is>
      </c>
      <c r="D278" s="91" t="inlineStr">
        <is>
          <t>Lote Estándar</t>
        </is>
      </c>
      <c r="E278" s="92" t="n">
        <v>162.35</v>
      </c>
      <c r="F278" s="90" t="inlineStr">
        <is>
          <t>12.12m x 13.48m</t>
        </is>
      </c>
      <c r="G278" s="93">
        <f>E278*120</f>
        <v/>
      </c>
      <c r="H278" s="90" t="n">
        <v>94</v>
      </c>
      <c r="I278" s="90" t="n">
        <v>134</v>
      </c>
      <c r="J278" s="99" t="inlineStr">
        <is>
          <t>Disponible</t>
        </is>
      </c>
    </row>
    <row r="279" ht="20" customHeight="1">
      <c r="A279" s="95" t="inlineStr">
        <is>
          <t>L278</t>
        </is>
      </c>
      <c r="B279" s="96" t="inlineStr">
        <is>
          <t>Lote 278</t>
        </is>
      </c>
      <c r="C279" s="95" t="inlineStr">
        <is>
          <t>M27</t>
        </is>
      </c>
      <c r="D279" s="96" t="inlineStr">
        <is>
          <t>Lote Estándar</t>
        </is>
      </c>
      <c r="E279" s="97" t="n">
        <v>168.95</v>
      </c>
      <c r="F279" s="95" t="inlineStr">
        <is>
          <t>12.59m x 13.49m</t>
        </is>
      </c>
      <c r="G279" s="98">
        <f>E279*120</f>
        <v/>
      </c>
      <c r="H279" s="95" t="n">
        <v>94</v>
      </c>
      <c r="I279" s="95" t="n">
        <v>116</v>
      </c>
      <c r="J279" s="99" t="inlineStr">
        <is>
          <t>Disponible</t>
        </is>
      </c>
    </row>
    <row r="280" ht="20" customHeight="1">
      <c r="A280" s="90" t="inlineStr">
        <is>
          <t>L279</t>
        </is>
      </c>
      <c r="B280" s="91" t="inlineStr">
        <is>
          <t>Lote 279</t>
        </is>
      </c>
      <c r="C280" s="90" t="inlineStr">
        <is>
          <t>M27</t>
        </is>
      </c>
      <c r="D280" s="91" t="inlineStr">
        <is>
          <t>Lote Estándar</t>
        </is>
      </c>
      <c r="E280" s="92" t="n">
        <v>168.54</v>
      </c>
      <c r="F280" s="90" t="inlineStr">
        <is>
          <t>12.59m x 13.45m</t>
        </is>
      </c>
      <c r="G280" s="93">
        <f>E280*120</f>
        <v/>
      </c>
      <c r="H280" s="90" t="n">
        <v>93</v>
      </c>
      <c r="I280" s="90" t="n">
        <v>104</v>
      </c>
      <c r="J280" s="99" t="inlineStr">
        <is>
          <t>Disponible</t>
        </is>
      </c>
    </row>
    <row r="281" ht="20" customHeight="1">
      <c r="A281" s="95" t="inlineStr">
        <is>
          <t>L280</t>
        </is>
      </c>
      <c r="B281" s="96" t="inlineStr">
        <is>
          <t>Lote 280</t>
        </is>
      </c>
      <c r="C281" s="95" t="inlineStr">
        <is>
          <t>M27</t>
        </is>
      </c>
      <c r="D281" s="96" t="inlineStr">
        <is>
          <t>Lote Estándar</t>
        </is>
      </c>
      <c r="E281" s="97" t="n">
        <v>168.04</v>
      </c>
      <c r="F281" s="95" t="inlineStr">
        <is>
          <t>12.59m x 13.42m</t>
        </is>
      </c>
      <c r="G281" s="98">
        <f>E281*120</f>
        <v/>
      </c>
      <c r="H281" s="95" t="n">
        <v>92</v>
      </c>
      <c r="I281" s="95" t="n">
        <v>91</v>
      </c>
      <c r="J281" s="99" t="inlineStr">
        <is>
          <t>Disponible</t>
        </is>
      </c>
    </row>
    <row r="282" ht="20" customHeight="1">
      <c r="A282" s="90" t="inlineStr">
        <is>
          <t>L281</t>
        </is>
      </c>
      <c r="B282" s="91" t="inlineStr">
        <is>
          <t>Lote 281</t>
        </is>
      </c>
      <c r="C282" s="90" t="inlineStr">
        <is>
          <t>M27</t>
        </is>
      </c>
      <c r="D282" s="91" t="inlineStr">
        <is>
          <t>Lote Estándar</t>
        </is>
      </c>
      <c r="E282" s="92" t="n">
        <v>167.67</v>
      </c>
      <c r="F282" s="90" t="inlineStr">
        <is>
          <t>12.59m x 13.39m</t>
        </is>
      </c>
      <c r="G282" s="93">
        <f>E282*120</f>
        <v/>
      </c>
      <c r="H282" s="90" t="n">
        <v>91</v>
      </c>
      <c r="I282" s="90" t="n">
        <v>79</v>
      </c>
      <c r="J282" s="99" t="inlineStr">
        <is>
          <t>Disponible</t>
        </is>
      </c>
    </row>
    <row r="283" ht="20" customHeight="1">
      <c r="A283" s="95" t="inlineStr">
        <is>
          <t>L282</t>
        </is>
      </c>
      <c r="B283" s="96" t="inlineStr">
        <is>
          <t>Lote 282</t>
        </is>
      </c>
      <c r="C283" s="95" t="inlineStr">
        <is>
          <t>M27</t>
        </is>
      </c>
      <c r="D283" s="96" t="inlineStr">
        <is>
          <t>Lote Estándar</t>
        </is>
      </c>
      <c r="E283" s="97" t="n">
        <v>167.69</v>
      </c>
      <c r="F283" s="95" t="inlineStr">
        <is>
          <t>12.60m x 13.38m</t>
        </is>
      </c>
      <c r="G283" s="98">
        <f>E283*120</f>
        <v/>
      </c>
      <c r="H283" s="95" t="n">
        <v>91</v>
      </c>
      <c r="I283" s="95" t="n">
        <v>66</v>
      </c>
      <c r="J283" s="99" t="inlineStr">
        <is>
          <t>Disponible</t>
        </is>
      </c>
    </row>
    <row r="284" ht="20" customHeight="1">
      <c r="A284" s="90" t="inlineStr">
        <is>
          <t>L283</t>
        </is>
      </c>
      <c r="B284" s="91" t="inlineStr">
        <is>
          <t>Lote 283</t>
        </is>
      </c>
      <c r="C284" s="90" t="inlineStr">
        <is>
          <t>M27</t>
        </is>
      </c>
      <c r="D284" s="91" t="inlineStr">
        <is>
          <t>Lote Estándar</t>
        </is>
      </c>
      <c r="E284" s="92" t="n">
        <v>167.78</v>
      </c>
      <c r="F284" s="90" t="inlineStr">
        <is>
          <t>12.60m x 13.40m</t>
        </is>
      </c>
      <c r="G284" s="93">
        <f>E284*120</f>
        <v/>
      </c>
      <c r="H284" s="90" t="n">
        <v>90</v>
      </c>
      <c r="I284" s="90" t="n">
        <v>53</v>
      </c>
      <c r="J284" s="99" t="inlineStr">
        <is>
          <t>Disponible</t>
        </is>
      </c>
    </row>
    <row r="285" ht="20" customHeight="1">
      <c r="A285" s="95" t="inlineStr">
        <is>
          <t>L284</t>
        </is>
      </c>
      <c r="B285" s="96" t="inlineStr">
        <is>
          <t>Lote 284</t>
        </is>
      </c>
      <c r="C285" s="95" t="inlineStr">
        <is>
          <t>M27</t>
        </is>
      </c>
      <c r="D285" s="96" t="inlineStr">
        <is>
          <t>Lote Estándar</t>
        </is>
      </c>
      <c r="E285" s="97" t="n">
        <v>168.12</v>
      </c>
      <c r="F285" s="95" t="inlineStr">
        <is>
          <t>12.60m x 13.43m</t>
        </is>
      </c>
      <c r="G285" s="98">
        <f>E285*120</f>
        <v/>
      </c>
      <c r="H285" s="95" t="n">
        <v>90</v>
      </c>
      <c r="I285" s="95" t="n">
        <v>41</v>
      </c>
      <c r="J285" s="99" t="inlineStr">
        <is>
          <t>Disponible</t>
        </is>
      </c>
    </row>
    <row r="286" ht="20" customHeight="1">
      <c r="A286" s="90" t="inlineStr">
        <is>
          <t>L285</t>
        </is>
      </c>
      <c r="B286" s="91" t="inlineStr">
        <is>
          <t>Lote 285</t>
        </is>
      </c>
      <c r="C286" s="90" t="inlineStr">
        <is>
          <t>M27</t>
        </is>
      </c>
      <c r="D286" s="91" t="inlineStr">
        <is>
          <t>Lote Estándar</t>
        </is>
      </c>
      <c r="E286" s="92" t="n">
        <v>168.7</v>
      </c>
      <c r="F286" s="90" t="inlineStr">
        <is>
          <t>12.60m x 13.48m</t>
        </is>
      </c>
      <c r="G286" s="93">
        <f>E286*120</f>
        <v/>
      </c>
      <c r="H286" s="90" t="n">
        <v>91</v>
      </c>
      <c r="I286" s="90" t="n">
        <v>28</v>
      </c>
      <c r="J286" s="99" t="inlineStr">
        <is>
          <t>Disponible</t>
        </is>
      </c>
    </row>
    <row r="287" ht="20" customHeight="1">
      <c r="A287" s="95" t="inlineStr">
        <is>
          <t>L286</t>
        </is>
      </c>
      <c r="B287" s="96" t="inlineStr">
        <is>
          <t>Lote 286</t>
        </is>
      </c>
      <c r="C287" s="95" t="inlineStr">
        <is>
          <t>M27</t>
        </is>
      </c>
      <c r="D287" s="96" t="inlineStr">
        <is>
          <t>Lote Estándar</t>
        </is>
      </c>
      <c r="E287" s="97" t="n">
        <v>169.5</v>
      </c>
      <c r="F287" s="95" t="inlineStr">
        <is>
          <t>12.60m x 13.55m</t>
        </is>
      </c>
      <c r="G287" s="98">
        <f>E287*120</f>
        <v/>
      </c>
      <c r="H287" s="95" t="n">
        <v>91</v>
      </c>
      <c r="I287" s="95" t="n">
        <v>15</v>
      </c>
      <c r="J287" s="99" t="inlineStr">
        <is>
          <t>Disponible</t>
        </is>
      </c>
    </row>
    <row r="288" ht="20" customHeight="1">
      <c r="A288" s="90" t="inlineStr">
        <is>
          <t>L287</t>
        </is>
      </c>
      <c r="B288" s="91" t="inlineStr">
        <is>
          <t>Lote 287</t>
        </is>
      </c>
      <c r="C288" s="90" t="inlineStr">
        <is>
          <t>M28</t>
        </is>
      </c>
      <c r="D288" s="91" t="inlineStr">
        <is>
          <t>Lote Ajuste (Irregular)</t>
        </is>
      </c>
      <c r="E288" s="92" t="n">
        <v>229.76</v>
      </c>
      <c r="F288" s="90" t="inlineStr">
        <is>
          <t>12.21m x 18.93m</t>
        </is>
      </c>
      <c r="G288" s="93">
        <f>E288*120</f>
        <v/>
      </c>
      <c r="H288" s="90" t="n">
        <v>114</v>
      </c>
      <c r="I288" s="90" t="n">
        <v>16</v>
      </c>
      <c r="J288" s="99" t="inlineStr">
        <is>
          <t>Disponible</t>
        </is>
      </c>
    </row>
    <row r="289" ht="20" customHeight="1">
      <c r="A289" s="95" t="inlineStr">
        <is>
          <t>L288</t>
        </is>
      </c>
      <c r="B289" s="96" t="inlineStr">
        <is>
          <t>Lote 288</t>
        </is>
      </c>
      <c r="C289" s="95" t="inlineStr">
        <is>
          <t>M28</t>
        </is>
      </c>
      <c r="D289" s="96" t="inlineStr">
        <is>
          <t>Lote Ajuste (Irregular)</t>
        </is>
      </c>
      <c r="E289" s="97" t="n">
        <v>229.41</v>
      </c>
      <c r="F289" s="95" t="inlineStr">
        <is>
          <t>12.21m x 18.91m</t>
        </is>
      </c>
      <c r="G289" s="98">
        <f>E289*120</f>
        <v/>
      </c>
      <c r="H289" s="95" t="n">
        <v>113</v>
      </c>
      <c r="I289" s="95" t="n">
        <v>28</v>
      </c>
      <c r="J289" s="99" t="inlineStr">
        <is>
          <t>Disponible</t>
        </is>
      </c>
    </row>
    <row r="290" ht="20" customHeight="1">
      <c r="A290" s="90" t="inlineStr">
        <is>
          <t>L289</t>
        </is>
      </c>
      <c r="B290" s="91" t="inlineStr">
        <is>
          <t>Lote 289</t>
        </is>
      </c>
      <c r="C290" s="90" t="inlineStr">
        <is>
          <t>M28</t>
        </is>
      </c>
      <c r="D290" s="91" t="inlineStr">
        <is>
          <t>Lote Ajuste (Irregular)</t>
        </is>
      </c>
      <c r="E290" s="92" t="n">
        <v>229.34</v>
      </c>
      <c r="F290" s="90" t="inlineStr">
        <is>
          <t>12.21m x 18.90m</t>
        </is>
      </c>
      <c r="G290" s="93">
        <f>E290*120</f>
        <v/>
      </c>
      <c r="H290" s="90" t="n">
        <v>112</v>
      </c>
      <c r="I290" s="90" t="n">
        <v>40</v>
      </c>
      <c r="J290" s="99" t="inlineStr">
        <is>
          <t>Disponible</t>
        </is>
      </c>
    </row>
    <row r="291" ht="20" customHeight="1">
      <c r="A291" s="95" t="inlineStr">
        <is>
          <t>L290</t>
        </is>
      </c>
      <c r="B291" s="96" t="inlineStr">
        <is>
          <t>Lote 290</t>
        </is>
      </c>
      <c r="C291" s="95" t="inlineStr">
        <is>
          <t>M28</t>
        </is>
      </c>
      <c r="D291" s="96" t="inlineStr">
        <is>
          <t>Lote Ajuste (Irregular)</t>
        </is>
      </c>
      <c r="E291" s="97" t="n">
        <v>230.05</v>
      </c>
      <c r="F291" s="95" t="inlineStr">
        <is>
          <t>12.23m x 18.93m</t>
        </is>
      </c>
      <c r="G291" s="98">
        <f>E291*120</f>
        <v/>
      </c>
      <c r="H291" s="95" t="n">
        <v>112</v>
      </c>
      <c r="I291" s="95" t="n">
        <v>52</v>
      </c>
      <c r="J291" s="99" t="inlineStr">
        <is>
          <t>Disponible</t>
        </is>
      </c>
    </row>
    <row r="292" ht="20" customHeight="1">
      <c r="A292" s="90" t="inlineStr">
        <is>
          <t>L291</t>
        </is>
      </c>
      <c r="B292" s="91" t="inlineStr">
        <is>
          <t>Lote 291</t>
        </is>
      </c>
      <c r="C292" s="90" t="inlineStr">
        <is>
          <t>M28</t>
        </is>
      </c>
      <c r="D292" s="91" t="inlineStr">
        <is>
          <t>Lote Ajuste (Irregular)</t>
        </is>
      </c>
      <c r="E292" s="92" t="n">
        <v>230.65</v>
      </c>
      <c r="F292" s="90" t="inlineStr">
        <is>
          <t>12.23m x 18.98m</t>
        </is>
      </c>
      <c r="G292" s="93">
        <f>E292*120</f>
        <v/>
      </c>
      <c r="H292" s="90" t="n">
        <v>112</v>
      </c>
      <c r="I292" s="90" t="n">
        <v>65</v>
      </c>
      <c r="J292" s="99" t="inlineStr">
        <is>
          <t>Disponible</t>
        </is>
      </c>
    </row>
    <row r="293" ht="20" customHeight="1">
      <c r="A293" s="95" t="inlineStr">
        <is>
          <t>L292</t>
        </is>
      </c>
      <c r="B293" s="96" t="inlineStr">
        <is>
          <t>Lote 292</t>
        </is>
      </c>
      <c r="C293" s="95" t="inlineStr">
        <is>
          <t>M28</t>
        </is>
      </c>
      <c r="D293" s="96" t="inlineStr">
        <is>
          <t>Lote Ajuste (Irregular)</t>
        </is>
      </c>
      <c r="E293" s="97" t="n">
        <v>231.55</v>
      </c>
      <c r="F293" s="95" t="inlineStr">
        <is>
          <t>12.23m x 19.05m</t>
        </is>
      </c>
      <c r="G293" s="98">
        <f>E293*120</f>
        <v/>
      </c>
      <c r="H293" s="95" t="n">
        <v>112</v>
      </c>
      <c r="I293" s="95" t="n">
        <v>76</v>
      </c>
      <c r="J293" s="99" t="inlineStr">
        <is>
          <t>Separado</t>
        </is>
      </c>
    </row>
    <row r="294" ht="20" customHeight="1">
      <c r="A294" s="90" t="inlineStr">
        <is>
          <t>L293</t>
        </is>
      </c>
      <c r="B294" s="91" t="inlineStr">
        <is>
          <t>Lote 293</t>
        </is>
      </c>
      <c r="C294" s="90" t="inlineStr">
        <is>
          <t>M28</t>
        </is>
      </c>
      <c r="D294" s="91" t="inlineStr">
        <is>
          <t>Lote Ajuste (Irregular)</t>
        </is>
      </c>
      <c r="E294" s="92" t="n">
        <v>232.7</v>
      </c>
      <c r="F294" s="90" t="inlineStr">
        <is>
          <t>12.23m x 19.15m</t>
        </is>
      </c>
      <c r="G294" s="93">
        <f>E294*120</f>
        <v/>
      </c>
      <c r="H294" s="90" t="n">
        <v>113</v>
      </c>
      <c r="I294" s="90" t="n">
        <v>88</v>
      </c>
      <c r="J294" s="99" t="inlineStr">
        <is>
          <t>Disponible</t>
        </is>
      </c>
    </row>
    <row r="295" ht="20" customHeight="1">
      <c r="A295" s="95" t="inlineStr">
        <is>
          <t>L294</t>
        </is>
      </c>
      <c r="B295" s="96" t="inlineStr">
        <is>
          <t>Lote 294</t>
        </is>
      </c>
      <c r="C295" s="95" t="inlineStr">
        <is>
          <t>M29</t>
        </is>
      </c>
      <c r="D295" s="96" t="inlineStr">
        <is>
          <t>Lote Ajuste (Irregular)</t>
        </is>
      </c>
      <c r="E295" s="97" t="n">
        <v>232.41</v>
      </c>
      <c r="F295" s="95" t="inlineStr">
        <is>
          <t>12.12m x 19.29m</t>
        </is>
      </c>
      <c r="G295" s="98">
        <f>E295*120</f>
        <v/>
      </c>
      <c r="H295" s="95" t="n">
        <v>115</v>
      </c>
      <c r="I295" s="95" t="n">
        <v>105</v>
      </c>
      <c r="J295" s="99" t="inlineStr">
        <is>
          <t>Disponible</t>
        </is>
      </c>
    </row>
    <row r="296" ht="20" customHeight="1">
      <c r="A296" s="90" t="inlineStr">
        <is>
          <t>L295</t>
        </is>
      </c>
      <c r="B296" s="91" t="inlineStr">
        <is>
          <t>Lote 295</t>
        </is>
      </c>
      <c r="C296" s="90" t="inlineStr">
        <is>
          <t>M29</t>
        </is>
      </c>
      <c r="D296" s="91" t="inlineStr">
        <is>
          <t>Lote Ajuste (Irregular)</t>
        </is>
      </c>
      <c r="E296" s="92" t="n">
        <v>233.04</v>
      </c>
      <c r="F296" s="90" t="inlineStr">
        <is>
          <t>12.12m x 19.34m</t>
        </is>
      </c>
      <c r="G296" s="93">
        <f>E296*120</f>
        <v/>
      </c>
      <c r="H296" s="90" t="n">
        <v>116</v>
      </c>
      <c r="I296" s="90" t="n">
        <v>117</v>
      </c>
      <c r="J296" s="99" t="inlineStr">
        <is>
          <t>Disponible</t>
        </is>
      </c>
    </row>
    <row r="297" ht="20" customHeight="1">
      <c r="A297" s="95" t="inlineStr">
        <is>
          <t>L296</t>
        </is>
      </c>
      <c r="B297" s="96" t="inlineStr">
        <is>
          <t>Lote 296</t>
        </is>
      </c>
      <c r="C297" s="95" t="inlineStr">
        <is>
          <t>M29</t>
        </is>
      </c>
      <c r="D297" s="96" t="inlineStr">
        <is>
          <t>Lote Ajuste (Irregular)</t>
        </is>
      </c>
      <c r="E297" s="97" t="n">
        <v>233.35</v>
      </c>
      <c r="F297" s="95" t="inlineStr">
        <is>
          <t>12.12m x 19.37m</t>
        </is>
      </c>
      <c r="G297" s="98">
        <f>E297*120</f>
        <v/>
      </c>
      <c r="H297" s="95" t="n">
        <v>118</v>
      </c>
      <c r="I297" s="95" t="n">
        <v>129</v>
      </c>
      <c r="J297" s="99" t="inlineStr">
        <is>
          <t>Disponible</t>
        </is>
      </c>
    </row>
    <row r="298" ht="20" customHeight="1">
      <c r="A298" s="90" t="inlineStr">
        <is>
          <t>L297</t>
        </is>
      </c>
      <c r="B298" s="91" t="inlineStr">
        <is>
          <t>Lote 297</t>
        </is>
      </c>
      <c r="C298" s="90" t="inlineStr">
        <is>
          <t>M29</t>
        </is>
      </c>
      <c r="D298" s="91" t="inlineStr">
        <is>
          <t>Lote Ajuste (Irregular)</t>
        </is>
      </c>
      <c r="E298" s="92" t="n">
        <v>233.66</v>
      </c>
      <c r="F298" s="90" t="inlineStr">
        <is>
          <t>12.12m x 19.39m</t>
        </is>
      </c>
      <c r="G298" s="93">
        <f>E298*120</f>
        <v/>
      </c>
      <c r="H298" s="90" t="n">
        <v>118</v>
      </c>
      <c r="I298" s="90" t="n">
        <v>141</v>
      </c>
      <c r="J298" s="99" t="inlineStr">
        <is>
          <t>Disponible</t>
        </is>
      </c>
    </row>
    <row r="299" ht="20" customHeight="1">
      <c r="A299" s="95" t="inlineStr">
        <is>
          <t>L298</t>
        </is>
      </c>
      <c r="B299" s="96" t="inlineStr">
        <is>
          <t>Lote 298</t>
        </is>
      </c>
      <c r="C299" s="95" t="inlineStr">
        <is>
          <t>M29</t>
        </is>
      </c>
      <c r="D299" s="96" t="inlineStr">
        <is>
          <t>Lote Ajuste (Irregular)</t>
        </is>
      </c>
      <c r="E299" s="97" t="n">
        <v>233.97</v>
      </c>
      <c r="F299" s="95" t="inlineStr">
        <is>
          <t>12.12m x 19.42m</t>
        </is>
      </c>
      <c r="G299" s="98">
        <f>E299*120</f>
        <v/>
      </c>
      <c r="H299" s="95" t="n">
        <v>118</v>
      </c>
      <c r="I299" s="95" t="n">
        <v>145</v>
      </c>
      <c r="J299" s="99" t="inlineStr">
        <is>
          <t>Disponible</t>
        </is>
      </c>
    </row>
    <row r="300" ht="20" customHeight="1">
      <c r="A300" s="90" t="inlineStr">
        <is>
          <t>L299</t>
        </is>
      </c>
      <c r="B300" s="91" t="inlineStr">
        <is>
          <t>Lote 299</t>
        </is>
      </c>
      <c r="C300" s="90" t="inlineStr">
        <is>
          <t>M29</t>
        </is>
      </c>
      <c r="D300" s="91" t="inlineStr">
        <is>
          <t>Lote Ajuste (Irregular)</t>
        </is>
      </c>
      <c r="E300" s="92" t="n">
        <v>234.3</v>
      </c>
      <c r="F300" s="90" t="inlineStr">
        <is>
          <t>12.12m x 19.45m</t>
        </is>
      </c>
      <c r="G300" s="93">
        <f>E300*120</f>
        <v/>
      </c>
      <c r="H300" s="90" t="n">
        <v>118</v>
      </c>
      <c r="I300" s="90" t="n">
        <v>145</v>
      </c>
      <c r="J300" s="99" t="inlineStr">
        <is>
          <t>Disponible</t>
        </is>
      </c>
    </row>
    <row r="301" ht="20" customHeight="1">
      <c r="A301" s="95" t="inlineStr">
        <is>
          <t>L300</t>
        </is>
      </c>
      <c r="B301" s="96" t="inlineStr">
        <is>
          <t>Lote 300</t>
        </is>
      </c>
      <c r="C301" s="95" t="inlineStr">
        <is>
          <t>M29</t>
        </is>
      </c>
      <c r="D301" s="96" t="inlineStr">
        <is>
          <t>Lote Ajuste (Irregular)</t>
        </is>
      </c>
      <c r="E301" s="97" t="n">
        <v>234.61</v>
      </c>
      <c r="F301" s="95" t="inlineStr">
        <is>
          <t>12.12m x 19.47m</t>
        </is>
      </c>
      <c r="G301" s="98">
        <f>E301*120</f>
        <v/>
      </c>
      <c r="H301" s="95" t="n">
        <v>118</v>
      </c>
      <c r="I301" s="95" t="n">
        <v>145</v>
      </c>
      <c r="J301" s="99" t="inlineStr">
        <is>
          <t>Disponible</t>
        </is>
      </c>
    </row>
    <row r="302" ht="20" customHeight="1">
      <c r="A302" s="90" t="inlineStr">
        <is>
          <t>L301</t>
        </is>
      </c>
      <c r="B302" s="91" t="inlineStr">
        <is>
          <t>Lote 301</t>
        </is>
      </c>
      <c r="C302" s="90" t="inlineStr">
        <is>
          <t>M29</t>
        </is>
      </c>
      <c r="D302" s="91" t="inlineStr">
        <is>
          <t>Lote Ajuste (Irregular)</t>
        </is>
      </c>
      <c r="E302" s="92" t="n">
        <v>234.92</v>
      </c>
      <c r="F302" s="90" t="inlineStr">
        <is>
          <t>12.12m x 19.50m</t>
        </is>
      </c>
      <c r="G302" s="93">
        <f>E302*120</f>
        <v/>
      </c>
      <c r="H302" s="90" t="n">
        <v>118</v>
      </c>
      <c r="I302" s="90" t="n">
        <v>145</v>
      </c>
      <c r="J302" s="99" t="inlineStr">
        <is>
          <t>Disponible</t>
        </is>
      </c>
    </row>
    <row r="303" ht="20" customHeight="1">
      <c r="A303" s="95" t="inlineStr">
        <is>
          <t>L302</t>
        </is>
      </c>
      <c r="B303" s="96" t="inlineStr">
        <is>
          <t>Lote 302</t>
        </is>
      </c>
      <c r="C303" s="95" t="inlineStr">
        <is>
          <t>M29</t>
        </is>
      </c>
      <c r="D303" s="96" t="inlineStr">
        <is>
          <t>Lote Ajuste (Irregular)</t>
        </is>
      </c>
      <c r="E303" s="97" t="n">
        <v>235.23</v>
      </c>
      <c r="F303" s="95" t="inlineStr">
        <is>
          <t>12.12m x 19.52m</t>
        </is>
      </c>
      <c r="G303" s="98">
        <f>E303*120</f>
        <v/>
      </c>
      <c r="H303" s="95" t="n">
        <v>119</v>
      </c>
      <c r="I303" s="95" t="n">
        <v>145</v>
      </c>
      <c r="J303" s="99" t="inlineStr">
        <is>
          <t>Disponible</t>
        </is>
      </c>
    </row>
    <row r="304" ht="20" customHeight="1">
      <c r="A304" s="90" t="inlineStr">
        <is>
          <t>L303</t>
        </is>
      </c>
      <c r="B304" s="91" t="inlineStr">
        <is>
          <t>Lote 303</t>
        </is>
      </c>
      <c r="C304" s="90" t="inlineStr">
        <is>
          <t>M29</t>
        </is>
      </c>
      <c r="D304" s="91" t="inlineStr">
        <is>
          <t>Lote Ajuste (Irregular)</t>
        </is>
      </c>
      <c r="E304" s="92" t="n">
        <v>235.55</v>
      </c>
      <c r="F304" s="90" t="inlineStr">
        <is>
          <t>12.12m x 19.55m</t>
        </is>
      </c>
      <c r="G304" s="93">
        <f>E304*120</f>
        <v/>
      </c>
      <c r="H304" s="90" t="n">
        <v>119</v>
      </c>
      <c r="I304" s="90" t="n">
        <v>134</v>
      </c>
      <c r="J304" s="99" t="inlineStr">
        <is>
          <t>Disponible</t>
        </is>
      </c>
    </row>
    <row r="305" ht="20" customHeight="1">
      <c r="A305" s="95" t="inlineStr">
        <is>
          <t>L304</t>
        </is>
      </c>
      <c r="B305" s="96" t="inlineStr">
        <is>
          <t>Lote 304</t>
        </is>
      </c>
      <c r="C305" s="95" t="inlineStr">
        <is>
          <t>M30</t>
        </is>
      </c>
      <c r="D305" s="96" t="inlineStr">
        <is>
          <t>Lote Ajuste (Irregular)</t>
        </is>
      </c>
      <c r="E305" s="97" t="n">
        <v>245.03</v>
      </c>
      <c r="F305" s="95" t="inlineStr">
        <is>
          <t>12.59m x 19.55m</t>
        </is>
      </c>
      <c r="G305" s="98">
        <f>E305*120</f>
        <v/>
      </c>
      <c r="H305" s="95" t="n">
        <v>119</v>
      </c>
      <c r="I305" s="95" t="n">
        <v>116</v>
      </c>
      <c r="J305" s="99" t="inlineStr">
        <is>
          <t>Disponible</t>
        </is>
      </c>
    </row>
    <row r="306" ht="20" customHeight="1">
      <c r="A306" s="90" t="inlineStr">
        <is>
          <t>L305</t>
        </is>
      </c>
      <c r="B306" s="91" t="inlineStr">
        <is>
          <t>Lote 305</t>
        </is>
      </c>
      <c r="C306" s="90" t="inlineStr">
        <is>
          <t>M30</t>
        </is>
      </c>
      <c r="D306" s="91" t="inlineStr">
        <is>
          <t>Lote Ajuste (Irregular)</t>
        </is>
      </c>
      <c r="E306" s="92" t="n">
        <v>244.36</v>
      </c>
      <c r="F306" s="90" t="inlineStr">
        <is>
          <t>12.59m x 19.51m</t>
        </is>
      </c>
      <c r="G306" s="93">
        <f>E306*120</f>
        <v/>
      </c>
      <c r="H306" s="90" t="n">
        <v>118</v>
      </c>
      <c r="I306" s="90" t="n">
        <v>104</v>
      </c>
      <c r="J306" s="99" t="inlineStr">
        <is>
          <t>Disponible</t>
        </is>
      </c>
    </row>
    <row r="307" ht="20" customHeight="1">
      <c r="A307" s="95" t="inlineStr">
        <is>
          <t>L306</t>
        </is>
      </c>
      <c r="B307" s="96" t="inlineStr">
        <is>
          <t>Lote 306</t>
        </is>
      </c>
      <c r="C307" s="95" t="inlineStr">
        <is>
          <t>M30</t>
        </is>
      </c>
      <c r="D307" s="96" t="inlineStr">
        <is>
          <t>Lote Ajuste (Irregular)</t>
        </is>
      </c>
      <c r="E307" s="97" t="n">
        <v>243.66</v>
      </c>
      <c r="F307" s="95" t="inlineStr">
        <is>
          <t>12.59m x 19.46m</t>
        </is>
      </c>
      <c r="G307" s="98">
        <f>E307*120</f>
        <v/>
      </c>
      <c r="H307" s="95" t="n">
        <v>117</v>
      </c>
      <c r="I307" s="95" t="n">
        <v>91</v>
      </c>
      <c r="J307" s="99" t="inlineStr">
        <is>
          <t>Disponible</t>
        </is>
      </c>
    </row>
    <row r="308" ht="20" customHeight="1">
      <c r="A308" s="90" t="inlineStr">
        <is>
          <t>L307</t>
        </is>
      </c>
      <c r="B308" s="91" t="inlineStr">
        <is>
          <t>Lote 307</t>
        </is>
      </c>
      <c r="C308" s="90" t="inlineStr">
        <is>
          <t>M30</t>
        </is>
      </c>
      <c r="D308" s="91" t="inlineStr">
        <is>
          <t>Lote Ajuste (Irregular)</t>
        </is>
      </c>
      <c r="E308" s="92" t="n">
        <v>243.19</v>
      </c>
      <c r="F308" s="90" t="inlineStr">
        <is>
          <t>12.59m x 19.42m</t>
        </is>
      </c>
      <c r="G308" s="93">
        <f>E308*120</f>
        <v/>
      </c>
      <c r="H308" s="90" t="n">
        <v>116</v>
      </c>
      <c r="I308" s="90" t="n">
        <v>79</v>
      </c>
      <c r="J308" s="99" t="inlineStr">
        <is>
          <t>Disponible</t>
        </is>
      </c>
    </row>
    <row r="309" ht="20" customHeight="1">
      <c r="A309" s="95" t="inlineStr">
        <is>
          <t>L308</t>
        </is>
      </c>
      <c r="B309" s="96" t="inlineStr">
        <is>
          <t>Lote 308</t>
        </is>
      </c>
      <c r="C309" s="95" t="inlineStr">
        <is>
          <t>M30</t>
        </is>
      </c>
      <c r="D309" s="96" t="inlineStr">
        <is>
          <t>Lote Ajuste (Irregular)</t>
        </is>
      </c>
      <c r="E309" s="97" t="n">
        <v>243.28</v>
      </c>
      <c r="F309" s="95" t="inlineStr">
        <is>
          <t>12.61m x 19.41m</t>
        </is>
      </c>
      <c r="G309" s="98">
        <f>E309*120</f>
        <v/>
      </c>
      <c r="H309" s="95" t="n">
        <v>115</v>
      </c>
      <c r="I309" s="95" t="n">
        <v>66</v>
      </c>
      <c r="J309" s="99" t="inlineStr">
        <is>
          <t>Disponible</t>
        </is>
      </c>
    </row>
    <row r="310" ht="20" customHeight="1">
      <c r="A310" s="90" t="inlineStr">
        <is>
          <t>L309</t>
        </is>
      </c>
      <c r="B310" s="91" t="inlineStr">
        <is>
          <t>Lote 309</t>
        </is>
      </c>
      <c r="C310" s="90" t="inlineStr">
        <is>
          <t>M30</t>
        </is>
      </c>
      <c r="D310" s="91" t="inlineStr">
        <is>
          <t>Lote Ajuste (Irregular)</t>
        </is>
      </c>
      <c r="E310" s="92" t="n">
        <v>243.49</v>
      </c>
      <c r="F310" s="90" t="inlineStr">
        <is>
          <t>12.61m x 19.42m</t>
        </is>
      </c>
      <c r="G310" s="93">
        <f>E310*120</f>
        <v/>
      </c>
      <c r="H310" s="90" t="n">
        <v>115</v>
      </c>
      <c r="I310" s="90" t="n">
        <v>53</v>
      </c>
      <c r="J310" s="99" t="inlineStr">
        <is>
          <t>Disponible</t>
        </is>
      </c>
    </row>
    <row r="311" ht="20" customHeight="1">
      <c r="A311" s="95" t="inlineStr">
        <is>
          <t>L310</t>
        </is>
      </c>
      <c r="B311" s="96" t="inlineStr">
        <is>
          <t>Lote 310</t>
        </is>
      </c>
      <c r="C311" s="95" t="inlineStr">
        <is>
          <t>M30</t>
        </is>
      </c>
      <c r="D311" s="96" t="inlineStr">
        <is>
          <t>Lote Ajuste (Irregular)</t>
        </is>
      </c>
      <c r="E311" s="97" t="n">
        <v>244.06</v>
      </c>
      <c r="F311" s="95" t="inlineStr">
        <is>
          <t>12.61m x 19.47m</t>
        </is>
      </c>
      <c r="G311" s="98">
        <f>E311*120</f>
        <v/>
      </c>
      <c r="H311" s="95" t="n">
        <v>115</v>
      </c>
      <c r="I311" s="95" t="n">
        <v>41</v>
      </c>
      <c r="J311" s="99" t="inlineStr">
        <is>
          <t>Disponible</t>
        </is>
      </c>
    </row>
    <row r="312" ht="20" customHeight="1">
      <c r="A312" s="90" t="inlineStr">
        <is>
          <t>L311</t>
        </is>
      </c>
      <c r="B312" s="91" t="inlineStr">
        <is>
          <t>Lote 311</t>
        </is>
      </c>
      <c r="C312" s="90" t="inlineStr">
        <is>
          <t>M30</t>
        </is>
      </c>
      <c r="D312" s="91" t="inlineStr">
        <is>
          <t>Lote Ajuste (Irregular)</t>
        </is>
      </c>
      <c r="E312" s="92" t="n">
        <v>244.98</v>
      </c>
      <c r="F312" s="90" t="inlineStr">
        <is>
          <t>12.61m x 19.55m</t>
        </is>
      </c>
      <c r="G312" s="93">
        <f>E312*120</f>
        <v/>
      </c>
      <c r="H312" s="90" t="n">
        <v>115</v>
      </c>
      <c r="I312" s="90" t="n">
        <v>28</v>
      </c>
      <c r="J312" s="99" t="inlineStr">
        <is>
          <t>Disponible</t>
        </is>
      </c>
    </row>
    <row r="313" ht="20" customHeight="1">
      <c r="A313" s="95" t="inlineStr">
        <is>
          <t>L312</t>
        </is>
      </c>
      <c r="B313" s="96" t="inlineStr">
        <is>
          <t>Lote 312</t>
        </is>
      </c>
      <c r="C313" s="95" t="inlineStr">
        <is>
          <t>M30</t>
        </is>
      </c>
      <c r="D313" s="96" t="inlineStr">
        <is>
          <t>Lote Ajuste (Irregular)</t>
        </is>
      </c>
      <c r="E313" s="97" t="n">
        <v>246.2</v>
      </c>
      <c r="F313" s="95" t="inlineStr">
        <is>
          <t>12.61m x 19.64m</t>
        </is>
      </c>
      <c r="G313" s="98">
        <f>E313*120</f>
        <v/>
      </c>
      <c r="H313" s="95" t="n">
        <v>116</v>
      </c>
      <c r="I313" s="95" t="n">
        <v>16</v>
      </c>
      <c r="J313" s="99" t="inlineStr">
        <is>
          <t>Disponible</t>
        </is>
      </c>
    </row>
    <row r="314" ht="20" customHeight="1">
      <c r="A314" s="90" t="inlineStr">
        <is>
          <t>P001</t>
        </is>
      </c>
      <c r="B314" s="91" t="inlineStr">
        <is>
          <t>P1</t>
        </is>
      </c>
      <c r="C314" s="90" t="inlineStr">
        <is>
          <t>PARKING</t>
        </is>
      </c>
      <c r="D314" s="91" t="inlineStr">
        <is>
          <t>Cochera Plus</t>
        </is>
      </c>
      <c r="E314" s="92" t="n">
        <v>12.5</v>
      </c>
      <c r="F314" s="90" t="inlineStr">
        <is>
          <t>2.5m x 5.0m</t>
        </is>
      </c>
      <c r="G314" s="93">
        <f>5000</f>
        <v/>
      </c>
      <c r="H314" s="90" t="n">
        <v>50</v>
      </c>
      <c r="I314" s="90" t="n">
        <v>0</v>
      </c>
      <c r="J314" s="99" t="inlineStr">
        <is>
          <t>Disponible</t>
        </is>
      </c>
    </row>
    <row r="315" ht="20" customHeight="1">
      <c r="A315" s="95" t="inlineStr">
        <is>
          <t>P002</t>
        </is>
      </c>
      <c r="B315" s="96" t="inlineStr">
        <is>
          <t>P2</t>
        </is>
      </c>
      <c r="C315" s="95" t="inlineStr">
        <is>
          <t>PARKING</t>
        </is>
      </c>
      <c r="D315" s="96" t="inlineStr">
        <is>
          <t>Cochera Plus</t>
        </is>
      </c>
      <c r="E315" s="97" t="n">
        <v>12.5</v>
      </c>
      <c r="F315" s="95" t="inlineStr">
        <is>
          <t>2.5m x 5.0m</t>
        </is>
      </c>
      <c r="G315" s="98">
        <f>5000</f>
        <v/>
      </c>
      <c r="H315" s="95" t="n">
        <v>50</v>
      </c>
      <c r="I315" s="95" t="n">
        <v>0</v>
      </c>
      <c r="J315" s="99" t="inlineStr">
        <is>
          <t>Disponible</t>
        </is>
      </c>
    </row>
    <row r="316" ht="20" customHeight="1">
      <c r="A316" s="90" t="inlineStr">
        <is>
          <t>P003</t>
        </is>
      </c>
      <c r="B316" s="91" t="inlineStr">
        <is>
          <t>P3</t>
        </is>
      </c>
      <c r="C316" s="90" t="inlineStr">
        <is>
          <t>PARKING</t>
        </is>
      </c>
      <c r="D316" s="91" t="inlineStr">
        <is>
          <t>Cochera Plus</t>
        </is>
      </c>
      <c r="E316" s="92" t="n">
        <v>12.5</v>
      </c>
      <c r="F316" s="90" t="inlineStr">
        <is>
          <t>2.5m x 5.0m</t>
        </is>
      </c>
      <c r="G316" s="93">
        <f>5000</f>
        <v/>
      </c>
      <c r="H316" s="90" t="n">
        <v>50</v>
      </c>
      <c r="I316" s="90" t="n">
        <v>0</v>
      </c>
      <c r="J316" s="99" t="inlineStr">
        <is>
          <t>Disponible</t>
        </is>
      </c>
    </row>
    <row r="317" ht="20" customHeight="1">
      <c r="A317" s="95" t="inlineStr">
        <is>
          <t>P004</t>
        </is>
      </c>
      <c r="B317" s="96" t="inlineStr">
        <is>
          <t>P4</t>
        </is>
      </c>
      <c r="C317" s="95" t="inlineStr">
        <is>
          <t>PARKING</t>
        </is>
      </c>
      <c r="D317" s="96" t="inlineStr">
        <is>
          <t>Cochera Plus</t>
        </is>
      </c>
      <c r="E317" s="97" t="n">
        <v>12.5</v>
      </c>
      <c r="F317" s="95" t="inlineStr">
        <is>
          <t>2.5m x 5.0m</t>
        </is>
      </c>
      <c r="G317" s="98">
        <f>5000</f>
        <v/>
      </c>
      <c r="H317" s="95" t="n">
        <v>50</v>
      </c>
      <c r="I317" s="95" t="n">
        <v>0</v>
      </c>
      <c r="J317" s="99" t="inlineStr">
        <is>
          <t>Disponible</t>
        </is>
      </c>
    </row>
    <row r="318" ht="20" customHeight="1">
      <c r="A318" s="90" t="inlineStr">
        <is>
          <t>P005</t>
        </is>
      </c>
      <c r="B318" s="91" t="inlineStr">
        <is>
          <t>P5</t>
        </is>
      </c>
      <c r="C318" s="90" t="inlineStr">
        <is>
          <t>PARKING</t>
        </is>
      </c>
      <c r="D318" s="91" t="inlineStr">
        <is>
          <t>Cochera Plus</t>
        </is>
      </c>
      <c r="E318" s="92" t="n">
        <v>12.5</v>
      </c>
      <c r="F318" s="90" t="inlineStr">
        <is>
          <t>2.5m x 5.0m</t>
        </is>
      </c>
      <c r="G318" s="93">
        <f>5000</f>
        <v/>
      </c>
      <c r="H318" s="90" t="n">
        <v>50</v>
      </c>
      <c r="I318" s="90" t="n">
        <v>0</v>
      </c>
      <c r="J318" s="99" t="inlineStr">
        <is>
          <t>Disponible</t>
        </is>
      </c>
    </row>
    <row r="319" ht="20" customHeight="1">
      <c r="A319" s="95" t="inlineStr">
        <is>
          <t>P006</t>
        </is>
      </c>
      <c r="B319" s="96" t="inlineStr">
        <is>
          <t>P6</t>
        </is>
      </c>
      <c r="C319" s="95" t="inlineStr">
        <is>
          <t>PARKING</t>
        </is>
      </c>
      <c r="D319" s="96" t="inlineStr">
        <is>
          <t>Cochera Plus</t>
        </is>
      </c>
      <c r="E319" s="97" t="n">
        <v>12.5</v>
      </c>
      <c r="F319" s="95" t="inlineStr">
        <is>
          <t>2.5m x 5.0m</t>
        </is>
      </c>
      <c r="G319" s="98">
        <f>5000</f>
        <v/>
      </c>
      <c r="H319" s="95" t="n">
        <v>50</v>
      </c>
      <c r="I319" s="95" t="n">
        <v>0</v>
      </c>
      <c r="J319" s="99" t="inlineStr">
        <is>
          <t>Disponible</t>
        </is>
      </c>
    </row>
    <row r="320" ht="20" customHeight="1">
      <c r="A320" s="90" t="inlineStr">
        <is>
          <t>P007</t>
        </is>
      </c>
      <c r="B320" s="91" t="inlineStr">
        <is>
          <t>P7</t>
        </is>
      </c>
      <c r="C320" s="90" t="inlineStr">
        <is>
          <t>PARKING</t>
        </is>
      </c>
      <c r="D320" s="91" t="inlineStr">
        <is>
          <t>Cochera Plus</t>
        </is>
      </c>
      <c r="E320" s="92" t="n">
        <v>12.5</v>
      </c>
      <c r="F320" s="90" t="inlineStr">
        <is>
          <t>2.5m x 5.0m</t>
        </is>
      </c>
      <c r="G320" s="93">
        <f>5000</f>
        <v/>
      </c>
      <c r="H320" s="90" t="n">
        <v>50</v>
      </c>
      <c r="I320" s="90" t="n">
        <v>0</v>
      </c>
      <c r="J320" s="99" t="inlineStr">
        <is>
          <t>Disponible</t>
        </is>
      </c>
    </row>
    <row r="321" ht="20" customHeight="1">
      <c r="A321" s="95" t="inlineStr">
        <is>
          <t>P008</t>
        </is>
      </c>
      <c r="B321" s="96" t="inlineStr">
        <is>
          <t>P8</t>
        </is>
      </c>
      <c r="C321" s="95" t="inlineStr">
        <is>
          <t>PARKING</t>
        </is>
      </c>
      <c r="D321" s="96" t="inlineStr">
        <is>
          <t>Cochera Plus</t>
        </is>
      </c>
      <c r="E321" s="97" t="n">
        <v>12.5</v>
      </c>
      <c r="F321" s="95" t="inlineStr">
        <is>
          <t>2.5m x 5.0m</t>
        </is>
      </c>
      <c r="G321" s="98">
        <f>5000</f>
        <v/>
      </c>
      <c r="H321" s="95" t="n">
        <v>50</v>
      </c>
      <c r="I321" s="95" t="n">
        <v>0</v>
      </c>
      <c r="J321" s="99" t="inlineStr">
        <is>
          <t>Disponible</t>
        </is>
      </c>
    </row>
    <row r="322" ht="20" customHeight="1">
      <c r="A322" s="90" t="inlineStr">
        <is>
          <t>P009</t>
        </is>
      </c>
      <c r="B322" s="91" t="inlineStr">
        <is>
          <t>P9</t>
        </is>
      </c>
      <c r="C322" s="90" t="inlineStr">
        <is>
          <t>PARKING</t>
        </is>
      </c>
      <c r="D322" s="91" t="inlineStr">
        <is>
          <t>Cochera Plus</t>
        </is>
      </c>
      <c r="E322" s="92" t="n">
        <v>12.5</v>
      </c>
      <c r="F322" s="90" t="inlineStr">
        <is>
          <t>2.5m x 5.0m</t>
        </is>
      </c>
      <c r="G322" s="93">
        <f>5000</f>
        <v/>
      </c>
      <c r="H322" s="90" t="n">
        <v>50</v>
      </c>
      <c r="I322" s="90" t="n">
        <v>0</v>
      </c>
      <c r="J322" s="99" t="inlineStr">
        <is>
          <t>Disponible</t>
        </is>
      </c>
    </row>
    <row r="323" ht="20" customHeight="1">
      <c r="A323" s="95" t="inlineStr">
        <is>
          <t>P010</t>
        </is>
      </c>
      <c r="B323" s="96" t="inlineStr">
        <is>
          <t>P10</t>
        </is>
      </c>
      <c r="C323" s="95" t="inlineStr">
        <is>
          <t>PARKING</t>
        </is>
      </c>
      <c r="D323" s="96" t="inlineStr">
        <is>
          <t>Cochera Plus</t>
        </is>
      </c>
      <c r="E323" s="97" t="n">
        <v>12.5</v>
      </c>
      <c r="F323" s="95" t="inlineStr">
        <is>
          <t>2.5m x 5.0m</t>
        </is>
      </c>
      <c r="G323" s="98">
        <f>5000</f>
        <v/>
      </c>
      <c r="H323" s="95" t="n">
        <v>50</v>
      </c>
      <c r="I323" s="95" t="n">
        <v>0</v>
      </c>
      <c r="J323" s="99" t="inlineStr">
        <is>
          <t>Disponible</t>
        </is>
      </c>
    </row>
    <row r="324" ht="20" customHeight="1">
      <c r="A324" s="90" t="inlineStr">
        <is>
          <t>P011</t>
        </is>
      </c>
      <c r="B324" s="91" t="inlineStr">
        <is>
          <t>P11</t>
        </is>
      </c>
      <c r="C324" s="90" t="inlineStr">
        <is>
          <t>PARKING</t>
        </is>
      </c>
      <c r="D324" s="91" t="inlineStr">
        <is>
          <t>Cochera Plus</t>
        </is>
      </c>
      <c r="E324" s="92" t="n">
        <v>12.5</v>
      </c>
      <c r="F324" s="90" t="inlineStr">
        <is>
          <t>2.5m x 5.0m</t>
        </is>
      </c>
      <c r="G324" s="93">
        <f>5000</f>
        <v/>
      </c>
      <c r="H324" s="90" t="n">
        <v>50</v>
      </c>
      <c r="I324" s="90" t="n">
        <v>0</v>
      </c>
      <c r="J324" s="99" t="inlineStr">
        <is>
          <t>Disponible</t>
        </is>
      </c>
    </row>
    <row r="325" ht="20" customHeight="1">
      <c r="A325" s="95" t="inlineStr">
        <is>
          <t>P012</t>
        </is>
      </c>
      <c r="B325" s="96" t="inlineStr">
        <is>
          <t>P12</t>
        </is>
      </c>
      <c r="C325" s="95" t="inlineStr">
        <is>
          <t>PARKING</t>
        </is>
      </c>
      <c r="D325" s="96" t="inlineStr">
        <is>
          <t>Cochera Plus</t>
        </is>
      </c>
      <c r="E325" s="97" t="n">
        <v>12.5</v>
      </c>
      <c r="F325" s="95" t="inlineStr">
        <is>
          <t>2.5m x 5.0m</t>
        </is>
      </c>
      <c r="G325" s="98">
        <f>5000</f>
        <v/>
      </c>
      <c r="H325" s="95" t="n">
        <v>50</v>
      </c>
      <c r="I325" s="95" t="n">
        <v>0</v>
      </c>
      <c r="J325" s="99" t="inlineStr">
        <is>
          <t>Disponible</t>
        </is>
      </c>
    </row>
    <row r="326" ht="20" customHeight="1">
      <c r="A326" s="90" t="inlineStr">
        <is>
          <t>P013</t>
        </is>
      </c>
      <c r="B326" s="91" t="inlineStr">
        <is>
          <t>P13</t>
        </is>
      </c>
      <c r="C326" s="90" t="inlineStr">
        <is>
          <t>PARKING</t>
        </is>
      </c>
      <c r="D326" s="91" t="inlineStr">
        <is>
          <t>Cochera Plus</t>
        </is>
      </c>
      <c r="E326" s="92" t="n">
        <v>12.5</v>
      </c>
      <c r="F326" s="90" t="inlineStr">
        <is>
          <t>2.5m x 5.0m</t>
        </is>
      </c>
      <c r="G326" s="93">
        <f>5000</f>
        <v/>
      </c>
      <c r="H326" s="90" t="n">
        <v>50</v>
      </c>
      <c r="I326" s="90" t="n">
        <v>0</v>
      </c>
      <c r="J326" s="99" t="inlineStr">
        <is>
          <t>Disponible</t>
        </is>
      </c>
    </row>
    <row r="327" ht="20" customHeight="1">
      <c r="A327" s="95" t="inlineStr">
        <is>
          <t>P014</t>
        </is>
      </c>
      <c r="B327" s="96" t="inlineStr">
        <is>
          <t>P14</t>
        </is>
      </c>
      <c r="C327" s="95" t="inlineStr">
        <is>
          <t>PARKING</t>
        </is>
      </c>
      <c r="D327" s="96" t="inlineStr">
        <is>
          <t>Cochera Plus</t>
        </is>
      </c>
      <c r="E327" s="97" t="n">
        <v>12.5</v>
      </c>
      <c r="F327" s="95" t="inlineStr">
        <is>
          <t>2.5m x 5.0m</t>
        </is>
      </c>
      <c r="G327" s="98">
        <f>5000</f>
        <v/>
      </c>
      <c r="H327" s="95" t="n">
        <v>50</v>
      </c>
      <c r="I327" s="95" t="n">
        <v>0</v>
      </c>
      <c r="J327" s="99" t="inlineStr">
        <is>
          <t>Disponible</t>
        </is>
      </c>
    </row>
    <row r="328" ht="20" customHeight="1">
      <c r="A328" s="90" t="inlineStr">
        <is>
          <t>P015</t>
        </is>
      </c>
      <c r="B328" s="91" t="inlineStr">
        <is>
          <t>P15</t>
        </is>
      </c>
      <c r="C328" s="90" t="inlineStr">
        <is>
          <t>PARKING</t>
        </is>
      </c>
      <c r="D328" s="91" t="inlineStr">
        <is>
          <t>Cochera Plus</t>
        </is>
      </c>
      <c r="E328" s="92" t="n">
        <v>12.5</v>
      </c>
      <c r="F328" s="90" t="inlineStr">
        <is>
          <t>2.5m x 5.0m</t>
        </is>
      </c>
      <c r="G328" s="93">
        <f>5000</f>
        <v/>
      </c>
      <c r="H328" s="90" t="n">
        <v>50</v>
      </c>
      <c r="I328" s="90" t="n">
        <v>0</v>
      </c>
      <c r="J328" s="99" t="inlineStr">
        <is>
          <t>Disponible</t>
        </is>
      </c>
    </row>
    <row r="329" ht="20" customHeight="1">
      <c r="A329" s="95" t="inlineStr">
        <is>
          <t>P016</t>
        </is>
      </c>
      <c r="B329" s="96" t="inlineStr">
        <is>
          <t>P16</t>
        </is>
      </c>
      <c r="C329" s="95" t="inlineStr">
        <is>
          <t>PARKING</t>
        </is>
      </c>
      <c r="D329" s="96" t="inlineStr">
        <is>
          <t>Cochera Plus</t>
        </is>
      </c>
      <c r="E329" s="97" t="n">
        <v>12.5</v>
      </c>
      <c r="F329" s="95" t="inlineStr">
        <is>
          <t>2.5m x 5.0m</t>
        </is>
      </c>
      <c r="G329" s="98">
        <f>5000</f>
        <v/>
      </c>
      <c r="H329" s="95" t="n">
        <v>50</v>
      </c>
      <c r="I329" s="95" t="n">
        <v>0</v>
      </c>
      <c r="J329" s="99" t="inlineStr">
        <is>
          <t>Disponible</t>
        </is>
      </c>
    </row>
    <row r="330" ht="20" customHeight="1">
      <c r="A330" s="90" t="inlineStr">
        <is>
          <t>P017</t>
        </is>
      </c>
      <c r="B330" s="91" t="inlineStr">
        <is>
          <t>P17</t>
        </is>
      </c>
      <c r="C330" s="90" t="inlineStr">
        <is>
          <t>PARKING</t>
        </is>
      </c>
      <c r="D330" s="91" t="inlineStr">
        <is>
          <t>Cochera Plus</t>
        </is>
      </c>
      <c r="E330" s="92" t="n">
        <v>12.5</v>
      </c>
      <c r="F330" s="90" t="inlineStr">
        <is>
          <t>2.5m x 5.0m</t>
        </is>
      </c>
      <c r="G330" s="93">
        <f>5000</f>
        <v/>
      </c>
      <c r="H330" s="90" t="n">
        <v>50</v>
      </c>
      <c r="I330" s="90" t="n">
        <v>0</v>
      </c>
      <c r="J330" s="99" t="inlineStr">
        <is>
          <t>Disponible</t>
        </is>
      </c>
    </row>
    <row r="331" ht="20" customHeight="1">
      <c r="A331" s="95" t="inlineStr">
        <is>
          <t>P018</t>
        </is>
      </c>
      <c r="B331" s="96" t="inlineStr">
        <is>
          <t>P18</t>
        </is>
      </c>
      <c r="C331" s="95" t="inlineStr">
        <is>
          <t>PARKING</t>
        </is>
      </c>
      <c r="D331" s="96" t="inlineStr">
        <is>
          <t>Cochera Plus</t>
        </is>
      </c>
      <c r="E331" s="97" t="n">
        <v>12.5</v>
      </c>
      <c r="F331" s="95" t="inlineStr">
        <is>
          <t>2.5m x 5.0m</t>
        </is>
      </c>
      <c r="G331" s="98">
        <f>5000</f>
        <v/>
      </c>
      <c r="H331" s="95" t="n">
        <v>50</v>
      </c>
      <c r="I331" s="95" t="n">
        <v>0</v>
      </c>
      <c r="J331" s="99" t="inlineStr">
        <is>
          <t>Disponible</t>
        </is>
      </c>
    </row>
    <row r="332" ht="20" customHeight="1">
      <c r="A332" s="90" t="inlineStr">
        <is>
          <t>P019</t>
        </is>
      </c>
      <c r="B332" s="91" t="inlineStr">
        <is>
          <t>P19</t>
        </is>
      </c>
      <c r="C332" s="90" t="inlineStr">
        <is>
          <t>PARKING</t>
        </is>
      </c>
      <c r="D332" s="91" t="inlineStr">
        <is>
          <t>Cochera Plus</t>
        </is>
      </c>
      <c r="E332" s="92" t="n">
        <v>12.5</v>
      </c>
      <c r="F332" s="90" t="inlineStr">
        <is>
          <t>2.5m x 5.0m</t>
        </is>
      </c>
      <c r="G332" s="93">
        <f>5000</f>
        <v/>
      </c>
      <c r="H332" s="90" t="n">
        <v>50</v>
      </c>
      <c r="I332" s="90" t="n">
        <v>0</v>
      </c>
      <c r="J332" s="99" t="inlineStr">
        <is>
          <t>Disponible</t>
        </is>
      </c>
    </row>
    <row r="333" ht="20" customHeight="1">
      <c r="A333" s="95" t="inlineStr">
        <is>
          <t>P020</t>
        </is>
      </c>
      <c r="B333" s="96" t="inlineStr">
        <is>
          <t>P20</t>
        </is>
      </c>
      <c r="C333" s="95" t="inlineStr">
        <is>
          <t>PARKING</t>
        </is>
      </c>
      <c r="D333" s="96" t="inlineStr">
        <is>
          <t>Cochera Plus</t>
        </is>
      </c>
      <c r="E333" s="97" t="n">
        <v>12.5</v>
      </c>
      <c r="F333" s="95" t="inlineStr">
        <is>
          <t>2.5m x 5.0m</t>
        </is>
      </c>
      <c r="G333" s="98">
        <f>5000</f>
        <v/>
      </c>
      <c r="H333" s="95" t="n">
        <v>50</v>
      </c>
      <c r="I333" s="95" t="n">
        <v>0</v>
      </c>
      <c r="J333" s="99" t="inlineStr">
        <is>
          <t>Disponible</t>
        </is>
      </c>
    </row>
    <row r="334" ht="20" customHeight="1">
      <c r="A334" s="90" t="inlineStr">
        <is>
          <t>P021</t>
        </is>
      </c>
      <c r="B334" s="91" t="inlineStr">
        <is>
          <t>P21</t>
        </is>
      </c>
      <c r="C334" s="90" t="inlineStr">
        <is>
          <t>PARKING</t>
        </is>
      </c>
      <c r="D334" s="91" t="inlineStr">
        <is>
          <t>Cochera Plus</t>
        </is>
      </c>
      <c r="E334" s="92" t="n">
        <v>12.5</v>
      </c>
      <c r="F334" s="90" t="inlineStr">
        <is>
          <t>2.5m x 5.0m</t>
        </is>
      </c>
      <c r="G334" s="93">
        <f>5000</f>
        <v/>
      </c>
      <c r="H334" s="90" t="n">
        <v>50</v>
      </c>
      <c r="I334" s="90" t="n">
        <v>0</v>
      </c>
      <c r="J334" s="99" t="inlineStr">
        <is>
          <t>Disponible</t>
        </is>
      </c>
    </row>
    <row r="335" ht="20" customHeight="1">
      <c r="A335" s="95" t="inlineStr">
        <is>
          <t>P022</t>
        </is>
      </c>
      <c r="B335" s="96" t="inlineStr">
        <is>
          <t>P22</t>
        </is>
      </c>
      <c r="C335" s="95" t="inlineStr">
        <is>
          <t>PARKING</t>
        </is>
      </c>
      <c r="D335" s="96" t="inlineStr">
        <is>
          <t>Cochera Plus</t>
        </is>
      </c>
      <c r="E335" s="97" t="n">
        <v>12.5</v>
      </c>
      <c r="F335" s="95" t="inlineStr">
        <is>
          <t>2.5m x 5.0m</t>
        </is>
      </c>
      <c r="G335" s="98">
        <f>5000</f>
        <v/>
      </c>
      <c r="H335" s="95" t="n">
        <v>50</v>
      </c>
      <c r="I335" s="95" t="n">
        <v>0</v>
      </c>
      <c r="J335" s="99" t="inlineStr">
        <is>
          <t>Disponible</t>
        </is>
      </c>
    </row>
    <row r="336" ht="20" customHeight="1">
      <c r="A336" s="90" t="inlineStr">
        <is>
          <t>P023</t>
        </is>
      </c>
      <c r="B336" s="91" t="inlineStr">
        <is>
          <t>P23</t>
        </is>
      </c>
      <c r="C336" s="90" t="inlineStr">
        <is>
          <t>PARKING</t>
        </is>
      </c>
      <c r="D336" s="91" t="inlineStr">
        <is>
          <t>Cochera Plus</t>
        </is>
      </c>
      <c r="E336" s="92" t="n">
        <v>12.5</v>
      </c>
      <c r="F336" s="90" t="inlineStr">
        <is>
          <t>2.5m x 5.0m</t>
        </is>
      </c>
      <c r="G336" s="93">
        <f>5000</f>
        <v/>
      </c>
      <c r="H336" s="90" t="n">
        <v>50</v>
      </c>
      <c r="I336" s="90" t="n">
        <v>0</v>
      </c>
      <c r="J336" s="99" t="inlineStr">
        <is>
          <t>Disponible</t>
        </is>
      </c>
    </row>
    <row r="337" ht="20" customHeight="1">
      <c r="A337" s="95" t="inlineStr">
        <is>
          <t>P024</t>
        </is>
      </c>
      <c r="B337" s="96" t="inlineStr">
        <is>
          <t>P24</t>
        </is>
      </c>
      <c r="C337" s="95" t="inlineStr">
        <is>
          <t>PARKING</t>
        </is>
      </c>
      <c r="D337" s="96" t="inlineStr">
        <is>
          <t>Cochera Plus</t>
        </is>
      </c>
      <c r="E337" s="97" t="n">
        <v>12.5</v>
      </c>
      <c r="F337" s="95" t="inlineStr">
        <is>
          <t>2.5m x 5.0m</t>
        </is>
      </c>
      <c r="G337" s="98">
        <f>5000</f>
        <v/>
      </c>
      <c r="H337" s="95" t="n">
        <v>50</v>
      </c>
      <c r="I337" s="95" t="n">
        <v>0</v>
      </c>
      <c r="J337" s="99" t="inlineStr">
        <is>
          <t>Disponible</t>
        </is>
      </c>
    </row>
    <row r="338" ht="20" customHeight="1">
      <c r="A338" s="90" t="inlineStr">
        <is>
          <t>P025</t>
        </is>
      </c>
      <c r="B338" s="91" t="inlineStr">
        <is>
          <t>P25</t>
        </is>
      </c>
      <c r="C338" s="90" t="inlineStr">
        <is>
          <t>PARKING</t>
        </is>
      </c>
      <c r="D338" s="91" t="inlineStr">
        <is>
          <t>Cochera Plus</t>
        </is>
      </c>
      <c r="E338" s="92" t="n">
        <v>12.5</v>
      </c>
      <c r="F338" s="90" t="inlineStr">
        <is>
          <t>2.5m x 5.0m</t>
        </is>
      </c>
      <c r="G338" s="93">
        <f>5000</f>
        <v/>
      </c>
      <c r="H338" s="90" t="n">
        <v>50</v>
      </c>
      <c r="I338" s="90" t="n">
        <v>0</v>
      </c>
      <c r="J338" s="99" t="inlineStr">
        <is>
          <t>Disponible</t>
        </is>
      </c>
    </row>
    <row r="339" ht="20" customHeight="1">
      <c r="A339" s="95" t="inlineStr">
        <is>
          <t>P026</t>
        </is>
      </c>
      <c r="B339" s="96" t="inlineStr">
        <is>
          <t>P26</t>
        </is>
      </c>
      <c r="C339" s="95" t="inlineStr">
        <is>
          <t>PARKING</t>
        </is>
      </c>
      <c r="D339" s="96" t="inlineStr">
        <is>
          <t>Cochera Plus</t>
        </is>
      </c>
      <c r="E339" s="97" t="n">
        <v>12.5</v>
      </c>
      <c r="F339" s="95" t="inlineStr">
        <is>
          <t>2.5m x 5.0m</t>
        </is>
      </c>
      <c r="G339" s="98">
        <f>5000</f>
        <v/>
      </c>
      <c r="H339" s="95" t="n">
        <v>50</v>
      </c>
      <c r="I339" s="95" t="n">
        <v>0</v>
      </c>
      <c r="J339" s="99" t="inlineStr">
        <is>
          <t>Disponible</t>
        </is>
      </c>
    </row>
    <row r="340" ht="20" customHeight="1">
      <c r="A340" s="90" t="inlineStr">
        <is>
          <t>P027</t>
        </is>
      </c>
      <c r="B340" s="91" t="inlineStr">
        <is>
          <t>P27</t>
        </is>
      </c>
      <c r="C340" s="90" t="inlineStr">
        <is>
          <t>PARKING</t>
        </is>
      </c>
      <c r="D340" s="91" t="inlineStr">
        <is>
          <t>Cochera Plus</t>
        </is>
      </c>
      <c r="E340" s="92" t="n">
        <v>12.5</v>
      </c>
      <c r="F340" s="90" t="inlineStr">
        <is>
          <t>2.5m x 5.0m</t>
        </is>
      </c>
      <c r="G340" s="93">
        <f>5000</f>
        <v/>
      </c>
      <c r="H340" s="90" t="n">
        <v>50</v>
      </c>
      <c r="I340" s="90" t="n">
        <v>0</v>
      </c>
      <c r="J340" s="99" t="inlineStr">
        <is>
          <t>Disponible</t>
        </is>
      </c>
    </row>
    <row r="341" ht="20" customHeight="1">
      <c r="A341" s="95" t="inlineStr">
        <is>
          <t>P028</t>
        </is>
      </c>
      <c r="B341" s="96" t="inlineStr">
        <is>
          <t>P28</t>
        </is>
      </c>
      <c r="C341" s="95" t="inlineStr">
        <is>
          <t>PARKING</t>
        </is>
      </c>
      <c r="D341" s="96" t="inlineStr">
        <is>
          <t>Cochera Plus</t>
        </is>
      </c>
      <c r="E341" s="97" t="n">
        <v>12.5</v>
      </c>
      <c r="F341" s="95" t="inlineStr">
        <is>
          <t>2.5m x 5.0m</t>
        </is>
      </c>
      <c r="G341" s="98">
        <f>5000</f>
        <v/>
      </c>
      <c r="H341" s="95" t="n">
        <v>50</v>
      </c>
      <c r="I341" s="95" t="n">
        <v>0</v>
      </c>
      <c r="J341" s="99" t="inlineStr">
        <is>
          <t>Disponible</t>
        </is>
      </c>
    </row>
    <row r="342" ht="20" customHeight="1">
      <c r="A342" s="90" t="inlineStr">
        <is>
          <t>P029</t>
        </is>
      </c>
      <c r="B342" s="91" t="inlineStr">
        <is>
          <t>P29</t>
        </is>
      </c>
      <c r="C342" s="90" t="inlineStr">
        <is>
          <t>PARKING</t>
        </is>
      </c>
      <c r="D342" s="91" t="inlineStr">
        <is>
          <t>Cochera Plus</t>
        </is>
      </c>
      <c r="E342" s="92" t="n">
        <v>12.5</v>
      </c>
      <c r="F342" s="90" t="inlineStr">
        <is>
          <t>2.5m x 5.0m</t>
        </is>
      </c>
      <c r="G342" s="93">
        <f>5000</f>
        <v/>
      </c>
      <c r="H342" s="90" t="n">
        <v>50</v>
      </c>
      <c r="I342" s="90" t="n">
        <v>0</v>
      </c>
      <c r="J342" s="99" t="inlineStr">
        <is>
          <t>Disponible</t>
        </is>
      </c>
    </row>
    <row r="343" ht="20" customHeight="1">
      <c r="A343" s="95" t="inlineStr">
        <is>
          <t>P030</t>
        </is>
      </c>
      <c r="B343" s="96" t="inlineStr">
        <is>
          <t>P30</t>
        </is>
      </c>
      <c r="C343" s="95" t="inlineStr">
        <is>
          <t>PARKING</t>
        </is>
      </c>
      <c r="D343" s="96" t="inlineStr">
        <is>
          <t>Cochera Plus</t>
        </is>
      </c>
      <c r="E343" s="97" t="n">
        <v>12.5</v>
      </c>
      <c r="F343" s="95" t="inlineStr">
        <is>
          <t>2.5m x 5.0m</t>
        </is>
      </c>
      <c r="G343" s="98">
        <f>5000</f>
        <v/>
      </c>
      <c r="H343" s="95" t="n">
        <v>50</v>
      </c>
      <c r="I343" s="95" t="n">
        <v>0</v>
      </c>
      <c r="J343" s="99" t="inlineStr">
        <is>
          <t>Disponible</t>
        </is>
      </c>
    </row>
    <row r="344" ht="20" customHeight="1">
      <c r="A344" s="90" t="inlineStr">
        <is>
          <t>P031</t>
        </is>
      </c>
      <c r="B344" s="91" t="inlineStr">
        <is>
          <t>P31</t>
        </is>
      </c>
      <c r="C344" s="90" t="inlineStr">
        <is>
          <t>PARKING</t>
        </is>
      </c>
      <c r="D344" s="91" t="inlineStr">
        <is>
          <t>Cochera Plus</t>
        </is>
      </c>
      <c r="E344" s="92" t="n">
        <v>12.5</v>
      </c>
      <c r="F344" s="90" t="inlineStr">
        <is>
          <t>2.5m x 5.0m</t>
        </is>
      </c>
      <c r="G344" s="93">
        <f>5000</f>
        <v/>
      </c>
      <c r="H344" s="90" t="n">
        <v>50</v>
      </c>
      <c r="I344" s="90" t="n">
        <v>0</v>
      </c>
      <c r="J344" s="99" t="inlineStr">
        <is>
          <t>Disponible</t>
        </is>
      </c>
    </row>
    <row r="345" ht="20" customHeight="1">
      <c r="A345" s="95" t="inlineStr">
        <is>
          <t>P032</t>
        </is>
      </c>
      <c r="B345" s="96" t="inlineStr">
        <is>
          <t>P32</t>
        </is>
      </c>
      <c r="C345" s="95" t="inlineStr">
        <is>
          <t>PARKING</t>
        </is>
      </c>
      <c r="D345" s="96" t="inlineStr">
        <is>
          <t>Cochera Plus</t>
        </is>
      </c>
      <c r="E345" s="97" t="n">
        <v>12.5</v>
      </c>
      <c r="F345" s="95" t="inlineStr">
        <is>
          <t>2.5m x 5.0m</t>
        </is>
      </c>
      <c r="G345" s="98">
        <f>5000</f>
        <v/>
      </c>
      <c r="H345" s="95" t="n">
        <v>50</v>
      </c>
      <c r="I345" s="95" t="n">
        <v>0</v>
      </c>
      <c r="J345" s="99" t="inlineStr">
        <is>
          <t>Disponible</t>
        </is>
      </c>
    </row>
    <row r="346" ht="20" customHeight="1">
      <c r="A346" s="90" t="inlineStr">
        <is>
          <t>P033</t>
        </is>
      </c>
      <c r="B346" s="91" t="inlineStr">
        <is>
          <t>P33</t>
        </is>
      </c>
      <c r="C346" s="90" t="inlineStr">
        <is>
          <t>PARKING</t>
        </is>
      </c>
      <c r="D346" s="91" t="inlineStr">
        <is>
          <t>Cochera Plus</t>
        </is>
      </c>
      <c r="E346" s="92" t="n">
        <v>12.5</v>
      </c>
      <c r="F346" s="90" t="inlineStr">
        <is>
          <t>2.5m x 5.0m</t>
        </is>
      </c>
      <c r="G346" s="93">
        <f>5000</f>
        <v/>
      </c>
      <c r="H346" s="90" t="n">
        <v>50</v>
      </c>
      <c r="I346" s="90" t="n">
        <v>0</v>
      </c>
      <c r="J346" s="99" t="inlineStr">
        <is>
          <t>Disponible</t>
        </is>
      </c>
    </row>
    <row r="347" ht="20" customHeight="1">
      <c r="A347" s="95" t="inlineStr">
        <is>
          <t>P034</t>
        </is>
      </c>
      <c r="B347" s="96" t="inlineStr">
        <is>
          <t>P34</t>
        </is>
      </c>
      <c r="C347" s="95" t="inlineStr">
        <is>
          <t>PARKING</t>
        </is>
      </c>
      <c r="D347" s="96" t="inlineStr">
        <is>
          <t>Cochera Plus</t>
        </is>
      </c>
      <c r="E347" s="97" t="n">
        <v>12.5</v>
      </c>
      <c r="F347" s="95" t="inlineStr">
        <is>
          <t>2.5m x 5.0m</t>
        </is>
      </c>
      <c r="G347" s="98">
        <f>5000</f>
        <v/>
      </c>
      <c r="H347" s="95" t="n">
        <v>50</v>
      </c>
      <c r="I347" s="95" t="n">
        <v>0</v>
      </c>
      <c r="J347" s="99" t="inlineStr">
        <is>
          <t>Disponible</t>
        </is>
      </c>
    </row>
    <row r="348" ht="20" customHeight="1">
      <c r="A348" s="90" t="inlineStr">
        <is>
          <t>P035</t>
        </is>
      </c>
      <c r="B348" s="91" t="inlineStr">
        <is>
          <t>P35</t>
        </is>
      </c>
      <c r="C348" s="90" t="inlineStr">
        <is>
          <t>PARKING</t>
        </is>
      </c>
      <c r="D348" s="91" t="inlineStr">
        <is>
          <t>Cochera Plus</t>
        </is>
      </c>
      <c r="E348" s="92" t="n">
        <v>12.5</v>
      </c>
      <c r="F348" s="90" t="inlineStr">
        <is>
          <t>2.5m x 5.0m</t>
        </is>
      </c>
      <c r="G348" s="93">
        <f>5000</f>
        <v/>
      </c>
      <c r="H348" s="90" t="n">
        <v>50</v>
      </c>
      <c r="I348" s="90" t="n">
        <v>0</v>
      </c>
      <c r="J348" s="99" t="inlineStr">
        <is>
          <t>Disponible</t>
        </is>
      </c>
    </row>
    <row r="349" ht="20" customHeight="1">
      <c r="A349" s="95" t="inlineStr">
        <is>
          <t>P036</t>
        </is>
      </c>
      <c r="B349" s="96" t="inlineStr">
        <is>
          <t>P36</t>
        </is>
      </c>
      <c r="C349" s="95" t="inlineStr">
        <is>
          <t>PARKING</t>
        </is>
      </c>
      <c r="D349" s="96" t="inlineStr">
        <is>
          <t>Cochera Plus</t>
        </is>
      </c>
      <c r="E349" s="97" t="n">
        <v>12.5</v>
      </c>
      <c r="F349" s="95" t="inlineStr">
        <is>
          <t>2.5m x 5.0m</t>
        </is>
      </c>
      <c r="G349" s="98">
        <f>5000</f>
        <v/>
      </c>
      <c r="H349" s="95" t="n">
        <v>50</v>
      </c>
      <c r="I349" s="95" t="n">
        <v>0</v>
      </c>
      <c r="J349" s="99" t="inlineStr">
        <is>
          <t>Disponible</t>
        </is>
      </c>
    </row>
    <row r="350" ht="20" customHeight="1">
      <c r="A350" s="90" t="inlineStr">
        <is>
          <t>P037</t>
        </is>
      </c>
      <c r="B350" s="91" t="inlineStr">
        <is>
          <t>P37</t>
        </is>
      </c>
      <c r="C350" s="90" t="inlineStr">
        <is>
          <t>PARKING</t>
        </is>
      </c>
      <c r="D350" s="91" t="inlineStr">
        <is>
          <t>Cochera Plus</t>
        </is>
      </c>
      <c r="E350" s="92" t="n">
        <v>12.5</v>
      </c>
      <c r="F350" s="90" t="inlineStr">
        <is>
          <t>2.5m x 5.0m</t>
        </is>
      </c>
      <c r="G350" s="93">
        <f>5000</f>
        <v/>
      </c>
      <c r="H350" s="90" t="n">
        <v>50</v>
      </c>
      <c r="I350" s="90" t="n">
        <v>0</v>
      </c>
      <c r="J350" s="99" t="inlineStr">
        <is>
          <t>Disponible</t>
        </is>
      </c>
    </row>
    <row r="351" ht="20" customHeight="1">
      <c r="A351" s="95" t="inlineStr">
        <is>
          <t>P038</t>
        </is>
      </c>
      <c r="B351" s="96" t="inlineStr">
        <is>
          <t>P38</t>
        </is>
      </c>
      <c r="C351" s="95" t="inlineStr">
        <is>
          <t>PARKING</t>
        </is>
      </c>
      <c r="D351" s="96" t="inlineStr">
        <is>
          <t>Cochera Plus</t>
        </is>
      </c>
      <c r="E351" s="97" t="n">
        <v>12.5</v>
      </c>
      <c r="F351" s="95" t="inlineStr">
        <is>
          <t>2.5m x 5.0m</t>
        </is>
      </c>
      <c r="G351" s="98">
        <f>5000</f>
        <v/>
      </c>
      <c r="H351" s="95" t="n">
        <v>50</v>
      </c>
      <c r="I351" s="95" t="n">
        <v>0</v>
      </c>
      <c r="J351" s="99" t="inlineStr">
        <is>
          <t>Disponible</t>
        </is>
      </c>
    </row>
    <row r="352" ht="20" customHeight="1">
      <c r="A352" s="90" t="inlineStr">
        <is>
          <t>P039</t>
        </is>
      </c>
      <c r="B352" s="91" t="inlineStr">
        <is>
          <t>P39</t>
        </is>
      </c>
      <c r="C352" s="90" t="inlineStr">
        <is>
          <t>PARKING</t>
        </is>
      </c>
      <c r="D352" s="91" t="inlineStr">
        <is>
          <t>Cochera Plus</t>
        </is>
      </c>
      <c r="E352" s="92" t="n">
        <v>12.5</v>
      </c>
      <c r="F352" s="90" t="inlineStr">
        <is>
          <t>2.5m x 5.0m</t>
        </is>
      </c>
      <c r="G352" s="93">
        <f>5000</f>
        <v/>
      </c>
      <c r="H352" s="90" t="n">
        <v>50</v>
      </c>
      <c r="I352" s="90" t="n">
        <v>0</v>
      </c>
      <c r="J352" s="99" t="inlineStr">
        <is>
          <t>Disponible</t>
        </is>
      </c>
    </row>
    <row r="353" ht="20" customHeight="1">
      <c r="A353" s="95" t="inlineStr">
        <is>
          <t>P040</t>
        </is>
      </c>
      <c r="B353" s="96" t="inlineStr">
        <is>
          <t>P40</t>
        </is>
      </c>
      <c r="C353" s="95" t="inlineStr">
        <is>
          <t>PARKING</t>
        </is>
      </c>
      <c r="D353" s="96" t="inlineStr">
        <is>
          <t>Cochera Plus</t>
        </is>
      </c>
      <c r="E353" s="97" t="n">
        <v>12.5</v>
      </c>
      <c r="F353" s="95" t="inlineStr">
        <is>
          <t>2.5m x 5.0m</t>
        </is>
      </c>
      <c r="G353" s="98">
        <f>5000</f>
        <v/>
      </c>
      <c r="H353" s="95" t="n">
        <v>50</v>
      </c>
      <c r="I353" s="95" t="n">
        <v>0</v>
      </c>
      <c r="J353" s="99" t="inlineStr">
        <is>
          <t>Disponible</t>
        </is>
      </c>
    </row>
    <row r="354" ht="20" customHeight="1">
      <c r="A354" s="90" t="inlineStr">
        <is>
          <t>P041</t>
        </is>
      </c>
      <c r="B354" s="91" t="inlineStr">
        <is>
          <t>P41</t>
        </is>
      </c>
      <c r="C354" s="90" t="inlineStr">
        <is>
          <t>PARKING</t>
        </is>
      </c>
      <c r="D354" s="91" t="inlineStr">
        <is>
          <t>Cochera Plus</t>
        </is>
      </c>
      <c r="E354" s="92" t="n">
        <v>12.5</v>
      </c>
      <c r="F354" s="90" t="inlineStr">
        <is>
          <t>2.5m x 5.0m</t>
        </is>
      </c>
      <c r="G354" s="93">
        <f>5000</f>
        <v/>
      </c>
      <c r="H354" s="90" t="n">
        <v>50</v>
      </c>
      <c r="I354" s="90" t="n">
        <v>0</v>
      </c>
      <c r="J354" s="99" t="inlineStr">
        <is>
          <t>Disponible</t>
        </is>
      </c>
    </row>
    <row r="355" ht="20" customHeight="1">
      <c r="A355" s="95" t="inlineStr">
        <is>
          <t>P042</t>
        </is>
      </c>
      <c r="B355" s="96" t="inlineStr">
        <is>
          <t>P42</t>
        </is>
      </c>
      <c r="C355" s="95" t="inlineStr">
        <is>
          <t>PARKING</t>
        </is>
      </c>
      <c r="D355" s="96" t="inlineStr">
        <is>
          <t>Cochera Plus</t>
        </is>
      </c>
      <c r="E355" s="97" t="n">
        <v>12.5</v>
      </c>
      <c r="F355" s="95" t="inlineStr">
        <is>
          <t>2.5m x 5.0m</t>
        </is>
      </c>
      <c r="G355" s="98">
        <f>5000</f>
        <v/>
      </c>
      <c r="H355" s="95" t="n">
        <v>50</v>
      </c>
      <c r="I355" s="95" t="n">
        <v>0</v>
      </c>
      <c r="J355" s="99" t="inlineStr">
        <is>
          <t>Disponible</t>
        </is>
      </c>
    </row>
    <row r="356" ht="20" customHeight="1">
      <c r="A356" s="90" t="inlineStr">
        <is>
          <t>P043</t>
        </is>
      </c>
      <c r="B356" s="91" t="inlineStr">
        <is>
          <t>P43</t>
        </is>
      </c>
      <c r="C356" s="90" t="inlineStr">
        <is>
          <t>PARKING</t>
        </is>
      </c>
      <c r="D356" s="91" t="inlineStr">
        <is>
          <t>Cochera Plus</t>
        </is>
      </c>
      <c r="E356" s="92" t="n">
        <v>12.5</v>
      </c>
      <c r="F356" s="90" t="inlineStr">
        <is>
          <t>2.5m x 5.0m</t>
        </is>
      </c>
      <c r="G356" s="93">
        <f>5000</f>
        <v/>
      </c>
      <c r="H356" s="90" t="n">
        <v>50</v>
      </c>
      <c r="I356" s="90" t="n">
        <v>0</v>
      </c>
      <c r="J356" s="99" t="inlineStr">
        <is>
          <t>Disponible</t>
        </is>
      </c>
    </row>
    <row r="357" ht="20" customHeight="1">
      <c r="A357" s="95" t="inlineStr">
        <is>
          <t>P044</t>
        </is>
      </c>
      <c r="B357" s="96" t="inlineStr">
        <is>
          <t>P44</t>
        </is>
      </c>
      <c r="C357" s="95" t="inlineStr">
        <is>
          <t>PARKING</t>
        </is>
      </c>
      <c r="D357" s="96" t="inlineStr">
        <is>
          <t>Cochera Plus</t>
        </is>
      </c>
      <c r="E357" s="97" t="n">
        <v>12.5</v>
      </c>
      <c r="F357" s="95" t="inlineStr">
        <is>
          <t>2.5m x 5.0m</t>
        </is>
      </c>
      <c r="G357" s="98">
        <f>5000</f>
        <v/>
      </c>
      <c r="H357" s="95" t="n">
        <v>50</v>
      </c>
      <c r="I357" s="95" t="n">
        <v>0</v>
      </c>
      <c r="J357" s="99" t="inlineStr">
        <is>
          <t>Disponible</t>
        </is>
      </c>
    </row>
    <row r="358" ht="20" customHeight="1">
      <c r="A358" s="90" t="inlineStr">
        <is>
          <t>P045</t>
        </is>
      </c>
      <c r="B358" s="91" t="inlineStr">
        <is>
          <t>P45</t>
        </is>
      </c>
      <c r="C358" s="90" t="inlineStr">
        <is>
          <t>PARKING</t>
        </is>
      </c>
      <c r="D358" s="91" t="inlineStr">
        <is>
          <t>Cochera Plus</t>
        </is>
      </c>
      <c r="E358" s="92" t="n">
        <v>12.5</v>
      </c>
      <c r="F358" s="90" t="inlineStr">
        <is>
          <t>2.5m x 5.0m</t>
        </is>
      </c>
      <c r="G358" s="93">
        <f>5000</f>
        <v/>
      </c>
      <c r="H358" s="90" t="n">
        <v>50</v>
      </c>
      <c r="I358" s="90" t="n">
        <v>0</v>
      </c>
      <c r="J358" s="99" t="inlineStr">
        <is>
          <t>Disponible</t>
        </is>
      </c>
    </row>
    <row r="359" ht="20" customHeight="1">
      <c r="A359" s="95" t="inlineStr">
        <is>
          <t>P046</t>
        </is>
      </c>
      <c r="B359" s="96" t="inlineStr">
        <is>
          <t>P46</t>
        </is>
      </c>
      <c r="C359" s="95" t="inlineStr">
        <is>
          <t>PARKING</t>
        </is>
      </c>
      <c r="D359" s="96" t="inlineStr">
        <is>
          <t>Cochera Plus</t>
        </is>
      </c>
      <c r="E359" s="97" t="n">
        <v>12.5</v>
      </c>
      <c r="F359" s="95" t="inlineStr">
        <is>
          <t>2.5m x 5.0m</t>
        </is>
      </c>
      <c r="G359" s="98">
        <f>5000</f>
        <v/>
      </c>
      <c r="H359" s="95" t="n">
        <v>50</v>
      </c>
      <c r="I359" s="95" t="n">
        <v>0</v>
      </c>
      <c r="J359" s="99" t="inlineStr">
        <is>
          <t>Disponible</t>
        </is>
      </c>
    </row>
    <row r="360" ht="20" customHeight="1">
      <c r="A360" s="90" t="inlineStr">
        <is>
          <t>P047</t>
        </is>
      </c>
      <c r="B360" s="91" t="inlineStr">
        <is>
          <t>P47</t>
        </is>
      </c>
      <c r="C360" s="90" t="inlineStr">
        <is>
          <t>PARKING</t>
        </is>
      </c>
      <c r="D360" s="91" t="inlineStr">
        <is>
          <t>Cochera Plus</t>
        </is>
      </c>
      <c r="E360" s="92" t="n">
        <v>12.5</v>
      </c>
      <c r="F360" s="90" t="inlineStr">
        <is>
          <t>2.5m x 5.0m</t>
        </is>
      </c>
      <c r="G360" s="93">
        <f>5000</f>
        <v/>
      </c>
      <c r="H360" s="90" t="n">
        <v>50</v>
      </c>
      <c r="I360" s="90" t="n">
        <v>0</v>
      </c>
      <c r="J360" s="99" t="inlineStr">
        <is>
          <t>Disponible</t>
        </is>
      </c>
    </row>
    <row r="361" ht="20" customHeight="1">
      <c r="A361" s="95" t="inlineStr">
        <is>
          <t>P048</t>
        </is>
      </c>
      <c r="B361" s="96" t="inlineStr">
        <is>
          <t>P48</t>
        </is>
      </c>
      <c r="C361" s="95" t="inlineStr">
        <is>
          <t>PARKING</t>
        </is>
      </c>
      <c r="D361" s="96" t="inlineStr">
        <is>
          <t>Cochera Plus</t>
        </is>
      </c>
      <c r="E361" s="97" t="n">
        <v>12.5</v>
      </c>
      <c r="F361" s="95" t="inlineStr">
        <is>
          <t>2.5m x 5.0m</t>
        </is>
      </c>
      <c r="G361" s="98">
        <f>5000</f>
        <v/>
      </c>
      <c r="H361" s="95" t="n">
        <v>50</v>
      </c>
      <c r="I361" s="95" t="n">
        <v>0</v>
      </c>
      <c r="J361" s="99" t="inlineStr">
        <is>
          <t>Disponible</t>
        </is>
      </c>
    </row>
    <row r="362" ht="20" customHeight="1">
      <c r="A362" s="90" t="inlineStr">
        <is>
          <t>P049</t>
        </is>
      </c>
      <c r="B362" s="91" t="inlineStr">
        <is>
          <t>P49</t>
        </is>
      </c>
      <c r="C362" s="90" t="inlineStr">
        <is>
          <t>PARKING</t>
        </is>
      </c>
      <c r="D362" s="91" t="inlineStr">
        <is>
          <t>Cochera Plus</t>
        </is>
      </c>
      <c r="E362" s="92" t="n">
        <v>12.5</v>
      </c>
      <c r="F362" s="90" t="inlineStr">
        <is>
          <t>2.5m x 5.0m</t>
        </is>
      </c>
      <c r="G362" s="93">
        <f>5000</f>
        <v/>
      </c>
      <c r="H362" s="90" t="n">
        <v>50</v>
      </c>
      <c r="I362" s="90" t="n">
        <v>0</v>
      </c>
      <c r="J362" s="99" t="inlineStr">
        <is>
          <t>Disponible</t>
        </is>
      </c>
    </row>
    <row r="363" ht="20" customHeight="1">
      <c r="A363" s="95" t="inlineStr">
        <is>
          <t>P050</t>
        </is>
      </c>
      <c r="B363" s="96" t="inlineStr">
        <is>
          <t>P50</t>
        </is>
      </c>
      <c r="C363" s="95" t="inlineStr">
        <is>
          <t>PARKING</t>
        </is>
      </c>
      <c r="D363" s="96" t="inlineStr">
        <is>
          <t>Cochera Plus</t>
        </is>
      </c>
      <c r="E363" s="97" t="n">
        <v>12.5</v>
      </c>
      <c r="F363" s="95" t="inlineStr">
        <is>
          <t>2.5m x 5.0m</t>
        </is>
      </c>
      <c r="G363" s="98">
        <f>5000</f>
        <v/>
      </c>
      <c r="H363" s="95" t="n">
        <v>50</v>
      </c>
      <c r="I363" s="95" t="n">
        <v>0</v>
      </c>
      <c r="J363" s="99" t="inlineStr">
        <is>
          <t>Disponible</t>
        </is>
      </c>
    </row>
    <row r="364" ht="20" customHeight="1">
      <c r="A364" s="90" t="inlineStr">
        <is>
          <t>P051</t>
        </is>
      </c>
      <c r="B364" s="91" t="inlineStr">
        <is>
          <t>P51</t>
        </is>
      </c>
      <c r="C364" s="90" t="inlineStr">
        <is>
          <t>PARKING</t>
        </is>
      </c>
      <c r="D364" s="91" t="inlineStr">
        <is>
          <t>Cochera Plus</t>
        </is>
      </c>
      <c r="E364" s="92" t="n">
        <v>12.5</v>
      </c>
      <c r="F364" s="90" t="inlineStr">
        <is>
          <t>2.5m x 5.0m</t>
        </is>
      </c>
      <c r="G364" s="93">
        <f>5000</f>
        <v/>
      </c>
      <c r="H364" s="90" t="n">
        <v>50</v>
      </c>
      <c r="I364" s="90" t="n">
        <v>0</v>
      </c>
      <c r="J364" s="99" t="inlineStr">
        <is>
          <t>Disponible</t>
        </is>
      </c>
    </row>
    <row r="365" ht="20" customHeight="1">
      <c r="A365" s="95" t="inlineStr">
        <is>
          <t>P052</t>
        </is>
      </c>
      <c r="B365" s="96" t="inlineStr">
        <is>
          <t>P52</t>
        </is>
      </c>
      <c r="C365" s="95" t="inlineStr">
        <is>
          <t>PARKING</t>
        </is>
      </c>
      <c r="D365" s="96" t="inlineStr">
        <is>
          <t>Cochera Plus</t>
        </is>
      </c>
      <c r="E365" s="97" t="n">
        <v>12.5</v>
      </c>
      <c r="F365" s="95" t="inlineStr">
        <is>
          <t>2.5m x 5.0m</t>
        </is>
      </c>
      <c r="G365" s="98">
        <f>5000</f>
        <v/>
      </c>
      <c r="H365" s="95" t="n">
        <v>50</v>
      </c>
      <c r="I365" s="95" t="n">
        <v>0</v>
      </c>
      <c r="J365" s="99" t="inlineStr">
        <is>
          <t>Disponible</t>
        </is>
      </c>
    </row>
    <row r="366" ht="20" customHeight="1">
      <c r="A366" s="90" t="inlineStr">
        <is>
          <t>P053</t>
        </is>
      </c>
      <c r="B366" s="91" t="inlineStr">
        <is>
          <t>P53</t>
        </is>
      </c>
      <c r="C366" s="90" t="inlineStr">
        <is>
          <t>PARKING</t>
        </is>
      </c>
      <c r="D366" s="91" t="inlineStr">
        <is>
          <t>Cochera Plus</t>
        </is>
      </c>
      <c r="E366" s="92" t="n">
        <v>12.5</v>
      </c>
      <c r="F366" s="90" t="inlineStr">
        <is>
          <t>2.5m x 5.0m</t>
        </is>
      </c>
      <c r="G366" s="93">
        <f>5000</f>
        <v/>
      </c>
      <c r="H366" s="90" t="n">
        <v>50</v>
      </c>
      <c r="I366" s="90" t="n">
        <v>0</v>
      </c>
      <c r="J366" s="99" t="inlineStr">
        <is>
          <t>Disponible</t>
        </is>
      </c>
    </row>
    <row r="367" ht="20" customHeight="1">
      <c r="A367" s="95" t="inlineStr">
        <is>
          <t>P054</t>
        </is>
      </c>
      <c r="B367" s="96" t="inlineStr">
        <is>
          <t>P54</t>
        </is>
      </c>
      <c r="C367" s="95" t="inlineStr">
        <is>
          <t>PARKING</t>
        </is>
      </c>
      <c r="D367" s="96" t="inlineStr">
        <is>
          <t>Cochera Plus</t>
        </is>
      </c>
      <c r="E367" s="97" t="n">
        <v>12.5</v>
      </c>
      <c r="F367" s="95" t="inlineStr">
        <is>
          <t>2.5m x 5.0m</t>
        </is>
      </c>
      <c r="G367" s="98">
        <f>5000</f>
        <v/>
      </c>
      <c r="H367" s="95" t="n">
        <v>50</v>
      </c>
      <c r="I367" s="95" t="n">
        <v>0</v>
      </c>
      <c r="J367" s="99" t="inlineStr">
        <is>
          <t>Disponible</t>
        </is>
      </c>
    </row>
    <row r="368" ht="20" customHeight="1">
      <c r="A368" s="90" t="inlineStr">
        <is>
          <t>P055</t>
        </is>
      </c>
      <c r="B368" s="91" t="inlineStr">
        <is>
          <t>P55</t>
        </is>
      </c>
      <c r="C368" s="90" t="inlineStr">
        <is>
          <t>PARKING</t>
        </is>
      </c>
      <c r="D368" s="91" t="inlineStr">
        <is>
          <t>Cochera Plus</t>
        </is>
      </c>
      <c r="E368" s="92" t="n">
        <v>12.5</v>
      </c>
      <c r="F368" s="90" t="inlineStr">
        <is>
          <t>2.5m x 5.0m</t>
        </is>
      </c>
      <c r="G368" s="93">
        <f>5000</f>
        <v/>
      </c>
      <c r="H368" s="90" t="n">
        <v>50</v>
      </c>
      <c r="I368" s="90" t="n">
        <v>0</v>
      </c>
      <c r="J368" s="99" t="inlineStr">
        <is>
          <t>Disponible</t>
        </is>
      </c>
    </row>
    <row r="369" ht="20" customHeight="1">
      <c r="A369" s="95" t="inlineStr">
        <is>
          <t>P056</t>
        </is>
      </c>
      <c r="B369" s="96" t="inlineStr">
        <is>
          <t>P56</t>
        </is>
      </c>
      <c r="C369" s="95" t="inlineStr">
        <is>
          <t>PARKING</t>
        </is>
      </c>
      <c r="D369" s="96" t="inlineStr">
        <is>
          <t>Cochera Plus</t>
        </is>
      </c>
      <c r="E369" s="97" t="n">
        <v>12.5</v>
      </c>
      <c r="F369" s="95" t="inlineStr">
        <is>
          <t>2.5m x 5.0m</t>
        </is>
      </c>
      <c r="G369" s="98">
        <f>5000</f>
        <v/>
      </c>
      <c r="H369" s="95" t="n">
        <v>50</v>
      </c>
      <c r="I369" s="95" t="n">
        <v>0</v>
      </c>
      <c r="J369" s="99" t="inlineStr">
        <is>
          <t>Disponible</t>
        </is>
      </c>
    </row>
    <row r="370" ht="20" customHeight="1">
      <c r="A370" s="90" t="inlineStr">
        <is>
          <t>P057</t>
        </is>
      </c>
      <c r="B370" s="91" t="inlineStr">
        <is>
          <t>P57</t>
        </is>
      </c>
      <c r="C370" s="90" t="inlineStr">
        <is>
          <t>PARKING</t>
        </is>
      </c>
      <c r="D370" s="91" t="inlineStr">
        <is>
          <t>Cochera Plus</t>
        </is>
      </c>
      <c r="E370" s="92" t="n">
        <v>12.5</v>
      </c>
      <c r="F370" s="90" t="inlineStr">
        <is>
          <t>2.5m x 5.0m</t>
        </is>
      </c>
      <c r="G370" s="93">
        <f>5000</f>
        <v/>
      </c>
      <c r="H370" s="90" t="n">
        <v>50</v>
      </c>
      <c r="I370" s="90" t="n">
        <v>0</v>
      </c>
      <c r="J370" s="99" t="inlineStr">
        <is>
          <t>Disponible</t>
        </is>
      </c>
    </row>
    <row r="371" ht="20" customHeight="1">
      <c r="A371" s="95" t="inlineStr">
        <is>
          <t>P058</t>
        </is>
      </c>
      <c r="B371" s="96" t="inlineStr">
        <is>
          <t>P58</t>
        </is>
      </c>
      <c r="C371" s="95" t="inlineStr">
        <is>
          <t>PARKING</t>
        </is>
      </c>
      <c r="D371" s="96" t="inlineStr">
        <is>
          <t>Cochera Plus</t>
        </is>
      </c>
      <c r="E371" s="97" t="n">
        <v>12.5</v>
      </c>
      <c r="F371" s="95" t="inlineStr">
        <is>
          <t>2.5m x 5.0m</t>
        </is>
      </c>
      <c r="G371" s="98">
        <f>5000</f>
        <v/>
      </c>
      <c r="H371" s="95" t="n">
        <v>50</v>
      </c>
      <c r="I371" s="95" t="n">
        <v>0</v>
      </c>
      <c r="J371" s="99" t="inlineStr">
        <is>
          <t>Disponible</t>
        </is>
      </c>
    </row>
    <row r="372" ht="20" customHeight="1">
      <c r="A372" s="90" t="inlineStr">
        <is>
          <t>P059</t>
        </is>
      </c>
      <c r="B372" s="91" t="inlineStr">
        <is>
          <t>P59</t>
        </is>
      </c>
      <c r="C372" s="90" t="inlineStr">
        <is>
          <t>PARKING</t>
        </is>
      </c>
      <c r="D372" s="91" t="inlineStr">
        <is>
          <t>Cochera Plus</t>
        </is>
      </c>
      <c r="E372" s="92" t="n">
        <v>12.5</v>
      </c>
      <c r="F372" s="90" t="inlineStr">
        <is>
          <t>2.5m x 5.0m</t>
        </is>
      </c>
      <c r="G372" s="93">
        <f>5000</f>
        <v/>
      </c>
      <c r="H372" s="90" t="n">
        <v>50</v>
      </c>
      <c r="I372" s="90" t="n">
        <v>0</v>
      </c>
      <c r="J372" s="99" t="inlineStr">
        <is>
          <t>Disponible</t>
        </is>
      </c>
    </row>
    <row r="373" ht="20" customHeight="1">
      <c r="A373" s="95" t="inlineStr">
        <is>
          <t>P060</t>
        </is>
      </c>
      <c r="B373" s="96" t="inlineStr">
        <is>
          <t>P60</t>
        </is>
      </c>
      <c r="C373" s="95" t="inlineStr">
        <is>
          <t>PARKING</t>
        </is>
      </c>
      <c r="D373" s="96" t="inlineStr">
        <is>
          <t>Cochera Plus</t>
        </is>
      </c>
      <c r="E373" s="97" t="n">
        <v>12.5</v>
      </c>
      <c r="F373" s="95" t="inlineStr">
        <is>
          <t>2.5m x 5.0m</t>
        </is>
      </c>
      <c r="G373" s="98">
        <f>5000</f>
        <v/>
      </c>
      <c r="H373" s="95" t="n">
        <v>50</v>
      </c>
      <c r="I373" s="95" t="n">
        <v>0</v>
      </c>
      <c r="J373" s="99" t="inlineStr">
        <is>
          <t>Disponible</t>
        </is>
      </c>
    </row>
    <row r="374" ht="20" customHeight="1">
      <c r="A374" s="90" t="inlineStr">
        <is>
          <t>P061</t>
        </is>
      </c>
      <c r="B374" s="91" t="inlineStr">
        <is>
          <t>P61</t>
        </is>
      </c>
      <c r="C374" s="90" t="inlineStr">
        <is>
          <t>PARKING</t>
        </is>
      </c>
      <c r="D374" s="91" t="inlineStr">
        <is>
          <t>Cochera Plus</t>
        </is>
      </c>
      <c r="E374" s="92" t="n">
        <v>12.5</v>
      </c>
      <c r="F374" s="90" t="inlineStr">
        <is>
          <t>2.5m x 5.0m</t>
        </is>
      </c>
      <c r="G374" s="93">
        <f>5000</f>
        <v/>
      </c>
      <c r="H374" s="90" t="n">
        <v>50</v>
      </c>
      <c r="I374" s="90" t="n">
        <v>0</v>
      </c>
      <c r="J374" s="99" t="inlineStr">
        <is>
          <t>Disponible</t>
        </is>
      </c>
    </row>
    <row r="375" ht="20" customHeight="1">
      <c r="A375" s="95" t="inlineStr">
        <is>
          <t>P062</t>
        </is>
      </c>
      <c r="B375" s="96" t="inlineStr">
        <is>
          <t>P62</t>
        </is>
      </c>
      <c r="C375" s="95" t="inlineStr">
        <is>
          <t>PARKING</t>
        </is>
      </c>
      <c r="D375" s="96" t="inlineStr">
        <is>
          <t>Cochera Plus</t>
        </is>
      </c>
      <c r="E375" s="97" t="n">
        <v>12.5</v>
      </c>
      <c r="F375" s="95" t="inlineStr">
        <is>
          <t>2.5m x 5.0m</t>
        </is>
      </c>
      <c r="G375" s="98">
        <f>5000</f>
        <v/>
      </c>
      <c r="H375" s="95" t="n">
        <v>50</v>
      </c>
      <c r="I375" s="95" t="n">
        <v>0</v>
      </c>
      <c r="J375" s="99" t="inlineStr">
        <is>
          <t>Disponible</t>
        </is>
      </c>
    </row>
    <row r="376" ht="20" customHeight="1">
      <c r="A376" s="90" t="inlineStr">
        <is>
          <t>P063</t>
        </is>
      </c>
      <c r="B376" s="91" t="inlineStr">
        <is>
          <t>P63</t>
        </is>
      </c>
      <c r="C376" s="90" t="inlineStr">
        <is>
          <t>PARKING</t>
        </is>
      </c>
      <c r="D376" s="91" t="inlineStr">
        <is>
          <t>Cochera Plus</t>
        </is>
      </c>
      <c r="E376" s="92" t="n">
        <v>12.5</v>
      </c>
      <c r="F376" s="90" t="inlineStr">
        <is>
          <t>2.5m x 5.0m</t>
        </is>
      </c>
      <c r="G376" s="93">
        <f>5000</f>
        <v/>
      </c>
      <c r="H376" s="90" t="n">
        <v>50</v>
      </c>
      <c r="I376" s="90" t="n">
        <v>0</v>
      </c>
      <c r="J376" s="99" t="inlineStr">
        <is>
          <t>Disponible</t>
        </is>
      </c>
    </row>
    <row r="377" ht="20" customHeight="1">
      <c r="A377" s="95" t="inlineStr">
        <is>
          <t>P064</t>
        </is>
      </c>
      <c r="B377" s="96" t="inlineStr">
        <is>
          <t>P64</t>
        </is>
      </c>
      <c r="C377" s="95" t="inlineStr">
        <is>
          <t>PARKING</t>
        </is>
      </c>
      <c r="D377" s="96" t="inlineStr">
        <is>
          <t>Cochera Plus</t>
        </is>
      </c>
      <c r="E377" s="97" t="n">
        <v>12.5</v>
      </c>
      <c r="F377" s="95" t="inlineStr">
        <is>
          <t>2.5m x 5.0m</t>
        </is>
      </c>
      <c r="G377" s="98">
        <f>5000</f>
        <v/>
      </c>
      <c r="H377" s="95" t="n">
        <v>50</v>
      </c>
      <c r="I377" s="95" t="n">
        <v>0</v>
      </c>
      <c r="J377" s="99" t="inlineStr">
        <is>
          <t>Disponible</t>
        </is>
      </c>
    </row>
    <row r="378" ht="20" customHeight="1">
      <c r="A378" s="90" t="inlineStr">
        <is>
          <t>P065</t>
        </is>
      </c>
      <c r="B378" s="91" t="inlineStr">
        <is>
          <t>P65</t>
        </is>
      </c>
      <c r="C378" s="90" t="inlineStr">
        <is>
          <t>PARKING</t>
        </is>
      </c>
      <c r="D378" s="91" t="inlineStr">
        <is>
          <t>Cochera Plus</t>
        </is>
      </c>
      <c r="E378" s="92" t="n">
        <v>12.5</v>
      </c>
      <c r="F378" s="90" t="inlineStr">
        <is>
          <t>2.5m x 5.0m</t>
        </is>
      </c>
      <c r="G378" s="93">
        <f>5000</f>
        <v/>
      </c>
      <c r="H378" s="90" t="n">
        <v>50</v>
      </c>
      <c r="I378" s="90" t="n">
        <v>0</v>
      </c>
      <c r="J378" s="99" t="inlineStr">
        <is>
          <t>Disponible</t>
        </is>
      </c>
    </row>
    <row r="379" ht="20" customHeight="1">
      <c r="A379" s="95" t="inlineStr">
        <is>
          <t>P066</t>
        </is>
      </c>
      <c r="B379" s="96" t="inlineStr">
        <is>
          <t>P66</t>
        </is>
      </c>
      <c r="C379" s="95" t="inlineStr">
        <is>
          <t>PARKING</t>
        </is>
      </c>
      <c r="D379" s="96" t="inlineStr">
        <is>
          <t>Cochera Plus</t>
        </is>
      </c>
      <c r="E379" s="97" t="n">
        <v>12.5</v>
      </c>
      <c r="F379" s="95" t="inlineStr">
        <is>
          <t>2.5m x 5.0m</t>
        </is>
      </c>
      <c r="G379" s="98">
        <f>5000</f>
        <v/>
      </c>
      <c r="H379" s="95" t="n">
        <v>50</v>
      </c>
      <c r="I379" s="95" t="n">
        <v>0</v>
      </c>
      <c r="J379" s="99" t="inlineStr">
        <is>
          <t>Disponible</t>
        </is>
      </c>
    </row>
    <row r="380" ht="20" customHeight="1">
      <c r="A380" s="90" t="inlineStr">
        <is>
          <t>P067</t>
        </is>
      </c>
      <c r="B380" s="91" t="inlineStr">
        <is>
          <t>P67</t>
        </is>
      </c>
      <c r="C380" s="90" t="inlineStr">
        <is>
          <t>PARKING</t>
        </is>
      </c>
      <c r="D380" s="91" t="inlineStr">
        <is>
          <t>Cochera Plus</t>
        </is>
      </c>
      <c r="E380" s="92" t="n">
        <v>12.5</v>
      </c>
      <c r="F380" s="90" t="inlineStr">
        <is>
          <t>2.5m x 5.0m</t>
        </is>
      </c>
      <c r="G380" s="93">
        <f>5000</f>
        <v/>
      </c>
      <c r="H380" s="90" t="n">
        <v>50</v>
      </c>
      <c r="I380" s="90" t="n">
        <v>0</v>
      </c>
      <c r="J380" s="99" t="inlineStr">
        <is>
          <t>Disponible</t>
        </is>
      </c>
    </row>
    <row r="381" ht="20" customHeight="1">
      <c r="A381" s="95" t="inlineStr">
        <is>
          <t>P068</t>
        </is>
      </c>
      <c r="B381" s="96" t="inlineStr">
        <is>
          <t>P68</t>
        </is>
      </c>
      <c r="C381" s="95" t="inlineStr">
        <is>
          <t>PARKING</t>
        </is>
      </c>
      <c r="D381" s="96" t="inlineStr">
        <is>
          <t>Cochera Plus</t>
        </is>
      </c>
      <c r="E381" s="97" t="n">
        <v>12.5</v>
      </c>
      <c r="F381" s="95" t="inlineStr">
        <is>
          <t>2.5m x 5.0m</t>
        </is>
      </c>
      <c r="G381" s="98">
        <f>5000</f>
        <v/>
      </c>
      <c r="H381" s="95" t="n">
        <v>50</v>
      </c>
      <c r="I381" s="95" t="n">
        <v>0</v>
      </c>
      <c r="J381" s="99" t="inlineStr">
        <is>
          <t>Disponible</t>
        </is>
      </c>
    </row>
    <row r="382" ht="20" customHeight="1">
      <c r="A382" s="90" t="inlineStr">
        <is>
          <t>P069</t>
        </is>
      </c>
      <c r="B382" s="91" t="inlineStr">
        <is>
          <t>P69</t>
        </is>
      </c>
      <c r="C382" s="90" t="inlineStr">
        <is>
          <t>PARKING</t>
        </is>
      </c>
      <c r="D382" s="91" t="inlineStr">
        <is>
          <t>Cochera Plus</t>
        </is>
      </c>
      <c r="E382" s="92" t="n">
        <v>12.5</v>
      </c>
      <c r="F382" s="90" t="inlineStr">
        <is>
          <t>2.5m x 5.0m</t>
        </is>
      </c>
      <c r="G382" s="93">
        <f>5000</f>
        <v/>
      </c>
      <c r="H382" s="90" t="n">
        <v>50</v>
      </c>
      <c r="I382" s="90" t="n">
        <v>0</v>
      </c>
      <c r="J382" s="99" t="inlineStr">
        <is>
          <t>Disponible</t>
        </is>
      </c>
    </row>
    <row r="383" ht="20" customHeight="1">
      <c r="A383" s="95" t="inlineStr">
        <is>
          <t>P070</t>
        </is>
      </c>
      <c r="B383" s="96" t="inlineStr">
        <is>
          <t>P70</t>
        </is>
      </c>
      <c r="C383" s="95" t="inlineStr">
        <is>
          <t>PARKING</t>
        </is>
      </c>
      <c r="D383" s="96" t="inlineStr">
        <is>
          <t>Cochera Plus</t>
        </is>
      </c>
      <c r="E383" s="97" t="n">
        <v>12.5</v>
      </c>
      <c r="F383" s="95" t="inlineStr">
        <is>
          <t>2.5m x 5.0m</t>
        </is>
      </c>
      <c r="G383" s="98">
        <f>5000</f>
        <v/>
      </c>
      <c r="H383" s="95" t="n">
        <v>50</v>
      </c>
      <c r="I383" s="95" t="n">
        <v>0</v>
      </c>
      <c r="J383" s="99" t="inlineStr">
        <is>
          <t>Disponible</t>
        </is>
      </c>
    </row>
    <row r="384" ht="20" customHeight="1">
      <c r="A384" s="90" t="inlineStr">
        <is>
          <t>P071</t>
        </is>
      </c>
      <c r="B384" s="91" t="inlineStr">
        <is>
          <t>P71</t>
        </is>
      </c>
      <c r="C384" s="90" t="inlineStr">
        <is>
          <t>PARKING</t>
        </is>
      </c>
      <c r="D384" s="91" t="inlineStr">
        <is>
          <t>Cochera Plus</t>
        </is>
      </c>
      <c r="E384" s="92" t="n">
        <v>12.5</v>
      </c>
      <c r="F384" s="90" t="inlineStr">
        <is>
          <t>2.5m x 5.0m</t>
        </is>
      </c>
      <c r="G384" s="93">
        <f>5000</f>
        <v/>
      </c>
      <c r="H384" s="90" t="n">
        <v>50</v>
      </c>
      <c r="I384" s="90" t="n">
        <v>0</v>
      </c>
      <c r="J384" s="99" t="inlineStr">
        <is>
          <t>Disponible</t>
        </is>
      </c>
    </row>
    <row r="385" ht="20" customHeight="1">
      <c r="A385" s="95" t="inlineStr">
        <is>
          <t>P072</t>
        </is>
      </c>
      <c r="B385" s="96" t="inlineStr">
        <is>
          <t>P72</t>
        </is>
      </c>
      <c r="C385" s="95" t="inlineStr">
        <is>
          <t>PARKING</t>
        </is>
      </c>
      <c r="D385" s="96" t="inlineStr">
        <is>
          <t>Cochera Plus</t>
        </is>
      </c>
      <c r="E385" s="97" t="n">
        <v>12.5</v>
      </c>
      <c r="F385" s="95" t="inlineStr">
        <is>
          <t>2.5m x 5.0m</t>
        </is>
      </c>
      <c r="G385" s="98">
        <f>5000</f>
        <v/>
      </c>
      <c r="H385" s="95" t="n">
        <v>50</v>
      </c>
      <c r="I385" s="95" t="n">
        <v>0</v>
      </c>
      <c r="J385" s="99" t="inlineStr">
        <is>
          <t>Disponible</t>
        </is>
      </c>
    </row>
    <row r="386" ht="20" customHeight="1">
      <c r="A386" s="90" t="inlineStr">
        <is>
          <t>P073</t>
        </is>
      </c>
      <c r="B386" s="91" t="inlineStr">
        <is>
          <t>P73</t>
        </is>
      </c>
      <c r="C386" s="90" t="inlineStr">
        <is>
          <t>PARKING</t>
        </is>
      </c>
      <c r="D386" s="91" t="inlineStr">
        <is>
          <t>Cochera Plus</t>
        </is>
      </c>
      <c r="E386" s="92" t="n">
        <v>12.5</v>
      </c>
      <c r="F386" s="90" t="inlineStr">
        <is>
          <t>2.5m x 5.0m</t>
        </is>
      </c>
      <c r="G386" s="93">
        <f>5000</f>
        <v/>
      </c>
      <c r="H386" s="90" t="n">
        <v>50</v>
      </c>
      <c r="I386" s="90" t="n">
        <v>0</v>
      </c>
      <c r="J386" s="99" t="inlineStr">
        <is>
          <t>Disponible</t>
        </is>
      </c>
    </row>
    <row r="387" ht="20" customHeight="1">
      <c r="A387" s="95" t="inlineStr">
        <is>
          <t>P074</t>
        </is>
      </c>
      <c r="B387" s="96" t="inlineStr">
        <is>
          <t>P74</t>
        </is>
      </c>
      <c r="C387" s="95" t="inlineStr">
        <is>
          <t>PARKING</t>
        </is>
      </c>
      <c r="D387" s="96" t="inlineStr">
        <is>
          <t>Cochera Plus</t>
        </is>
      </c>
      <c r="E387" s="97" t="n">
        <v>12.5</v>
      </c>
      <c r="F387" s="95" t="inlineStr">
        <is>
          <t>2.5m x 5.0m</t>
        </is>
      </c>
      <c r="G387" s="98">
        <f>5000</f>
        <v/>
      </c>
      <c r="H387" s="95" t="n">
        <v>50</v>
      </c>
      <c r="I387" s="95" t="n">
        <v>0</v>
      </c>
      <c r="J387" s="99" t="inlineStr">
        <is>
          <t>Disponible</t>
        </is>
      </c>
    </row>
    <row r="388" ht="20" customHeight="1">
      <c r="A388" s="90" t="inlineStr">
        <is>
          <t>P075</t>
        </is>
      </c>
      <c r="B388" s="91" t="inlineStr">
        <is>
          <t>P75</t>
        </is>
      </c>
      <c r="C388" s="90" t="inlineStr">
        <is>
          <t>PARKING</t>
        </is>
      </c>
      <c r="D388" s="91" t="inlineStr">
        <is>
          <t>Cochera Plus</t>
        </is>
      </c>
      <c r="E388" s="92" t="n">
        <v>12.5</v>
      </c>
      <c r="F388" s="90" t="inlineStr">
        <is>
          <t>2.5m x 5.0m</t>
        </is>
      </c>
      <c r="G388" s="93">
        <f>5000</f>
        <v/>
      </c>
      <c r="H388" s="90" t="n">
        <v>50</v>
      </c>
      <c r="I388" s="90" t="n">
        <v>0</v>
      </c>
      <c r="J388" s="99" t="inlineStr">
        <is>
          <t>Disponible</t>
        </is>
      </c>
    </row>
    <row r="389" ht="20" customHeight="1">
      <c r="A389" s="95" t="inlineStr">
        <is>
          <t>P076</t>
        </is>
      </c>
      <c r="B389" s="96" t="inlineStr">
        <is>
          <t>P76</t>
        </is>
      </c>
      <c r="C389" s="95" t="inlineStr">
        <is>
          <t>PARKING</t>
        </is>
      </c>
      <c r="D389" s="96" t="inlineStr">
        <is>
          <t>Cochera Plus</t>
        </is>
      </c>
      <c r="E389" s="97" t="n">
        <v>12.5</v>
      </c>
      <c r="F389" s="95" t="inlineStr">
        <is>
          <t>2.5m x 5.0m</t>
        </is>
      </c>
      <c r="G389" s="98">
        <f>5000</f>
        <v/>
      </c>
      <c r="H389" s="95" t="n">
        <v>50</v>
      </c>
      <c r="I389" s="95" t="n">
        <v>0</v>
      </c>
      <c r="J389" s="99" t="inlineStr">
        <is>
          <t>Disponible</t>
        </is>
      </c>
    </row>
    <row r="390" ht="20" customHeight="1">
      <c r="A390" s="90" t="inlineStr">
        <is>
          <t>P077</t>
        </is>
      </c>
      <c r="B390" s="91" t="inlineStr">
        <is>
          <t>P77</t>
        </is>
      </c>
      <c r="C390" s="90" t="inlineStr">
        <is>
          <t>PARKING</t>
        </is>
      </c>
      <c r="D390" s="91" t="inlineStr">
        <is>
          <t>Cochera Plus</t>
        </is>
      </c>
      <c r="E390" s="92" t="n">
        <v>12.5</v>
      </c>
      <c r="F390" s="90" t="inlineStr">
        <is>
          <t>2.5m x 5.0m</t>
        </is>
      </c>
      <c r="G390" s="93">
        <f>5000</f>
        <v/>
      </c>
      <c r="H390" s="90" t="n">
        <v>50</v>
      </c>
      <c r="I390" s="90" t="n">
        <v>0</v>
      </c>
      <c r="J390" s="99" t="inlineStr">
        <is>
          <t>Disponible</t>
        </is>
      </c>
    </row>
    <row r="391" ht="20" customHeight="1">
      <c r="A391" s="95" t="inlineStr">
        <is>
          <t>P078</t>
        </is>
      </c>
      <c r="B391" s="96" t="inlineStr">
        <is>
          <t>P78</t>
        </is>
      </c>
      <c r="C391" s="95" t="inlineStr">
        <is>
          <t>PARKING</t>
        </is>
      </c>
      <c r="D391" s="96" t="inlineStr">
        <is>
          <t>Cochera Plus</t>
        </is>
      </c>
      <c r="E391" s="97" t="n">
        <v>12.5</v>
      </c>
      <c r="F391" s="95" t="inlineStr">
        <is>
          <t>2.5m x 5.0m</t>
        </is>
      </c>
      <c r="G391" s="98">
        <f>5000</f>
        <v/>
      </c>
      <c r="H391" s="95" t="n">
        <v>50</v>
      </c>
      <c r="I391" s="95" t="n">
        <v>0</v>
      </c>
      <c r="J391" s="99" t="inlineStr">
        <is>
          <t>Disponible</t>
        </is>
      </c>
    </row>
    <row r="392" ht="20" customHeight="1">
      <c r="A392" s="90" t="inlineStr">
        <is>
          <t>P079</t>
        </is>
      </c>
      <c r="B392" s="91" t="inlineStr">
        <is>
          <t>P79</t>
        </is>
      </c>
      <c r="C392" s="90" t="inlineStr">
        <is>
          <t>PARKING</t>
        </is>
      </c>
      <c r="D392" s="91" t="inlineStr">
        <is>
          <t>Cochera Plus</t>
        </is>
      </c>
      <c r="E392" s="92" t="n">
        <v>12.5</v>
      </c>
      <c r="F392" s="90" t="inlineStr">
        <is>
          <t>2.5m x 5.0m</t>
        </is>
      </c>
      <c r="G392" s="93">
        <f>5000</f>
        <v/>
      </c>
      <c r="H392" s="90" t="n">
        <v>50</v>
      </c>
      <c r="I392" s="90" t="n">
        <v>0</v>
      </c>
      <c r="J392" s="99" t="inlineStr">
        <is>
          <t>Disponible</t>
        </is>
      </c>
    </row>
    <row r="393" ht="20" customHeight="1">
      <c r="A393" s="95" t="inlineStr">
        <is>
          <t>P080</t>
        </is>
      </c>
      <c r="B393" s="96" t="inlineStr">
        <is>
          <t>P80</t>
        </is>
      </c>
      <c r="C393" s="95" t="inlineStr">
        <is>
          <t>PARKING</t>
        </is>
      </c>
      <c r="D393" s="96" t="inlineStr">
        <is>
          <t>Cochera Plus</t>
        </is>
      </c>
      <c r="E393" s="97" t="n">
        <v>12.5</v>
      </c>
      <c r="F393" s="95" t="inlineStr">
        <is>
          <t>2.5m x 5.0m</t>
        </is>
      </c>
      <c r="G393" s="98">
        <f>5000</f>
        <v/>
      </c>
      <c r="H393" s="95" t="n">
        <v>50</v>
      </c>
      <c r="I393" s="95" t="n">
        <v>0</v>
      </c>
      <c r="J393" s="99" t="inlineStr">
        <is>
          <t>Disponible</t>
        </is>
      </c>
    </row>
    <row r="394" ht="20" customHeight="1">
      <c r="A394" s="90" t="inlineStr">
        <is>
          <t>P081</t>
        </is>
      </c>
      <c r="B394" s="91" t="inlineStr">
        <is>
          <t>P81</t>
        </is>
      </c>
      <c r="C394" s="90" t="inlineStr">
        <is>
          <t>PARKING</t>
        </is>
      </c>
      <c r="D394" s="91" t="inlineStr">
        <is>
          <t>Cochera Plus</t>
        </is>
      </c>
      <c r="E394" s="92" t="n">
        <v>12.5</v>
      </c>
      <c r="F394" s="90" t="inlineStr">
        <is>
          <t>2.5m x 5.0m</t>
        </is>
      </c>
      <c r="G394" s="93">
        <f>5000</f>
        <v/>
      </c>
      <c r="H394" s="90" t="n">
        <v>50</v>
      </c>
      <c r="I394" s="90" t="n">
        <v>0</v>
      </c>
      <c r="J394" s="99" t="inlineStr">
        <is>
          <t>Disponible</t>
        </is>
      </c>
    </row>
    <row r="395" ht="20" customHeight="1">
      <c r="A395" s="95" t="inlineStr">
        <is>
          <t>P082</t>
        </is>
      </c>
      <c r="B395" s="96" t="inlineStr">
        <is>
          <t>P82</t>
        </is>
      </c>
      <c r="C395" s="95" t="inlineStr">
        <is>
          <t>PARKING</t>
        </is>
      </c>
      <c r="D395" s="96" t="inlineStr">
        <is>
          <t>Cochera Plus</t>
        </is>
      </c>
      <c r="E395" s="97" t="n">
        <v>12.5</v>
      </c>
      <c r="F395" s="95" t="inlineStr">
        <is>
          <t>2.5m x 5.0m</t>
        </is>
      </c>
      <c r="G395" s="98">
        <f>5000</f>
        <v/>
      </c>
      <c r="H395" s="95" t="n">
        <v>50</v>
      </c>
      <c r="I395" s="95" t="n">
        <v>0</v>
      </c>
      <c r="J395" s="99" t="inlineStr">
        <is>
          <t>Disponible</t>
        </is>
      </c>
    </row>
    <row r="396" ht="20" customHeight="1">
      <c r="A396" s="90" t="inlineStr">
        <is>
          <t>P083</t>
        </is>
      </c>
      <c r="B396" s="91" t="inlineStr">
        <is>
          <t>P83</t>
        </is>
      </c>
      <c r="C396" s="90" t="inlineStr">
        <is>
          <t>PARKING</t>
        </is>
      </c>
      <c r="D396" s="91" t="inlineStr">
        <is>
          <t>Cochera Plus</t>
        </is>
      </c>
      <c r="E396" s="92" t="n">
        <v>12.5</v>
      </c>
      <c r="F396" s="90" t="inlineStr">
        <is>
          <t>2.5m x 5.0m</t>
        </is>
      </c>
      <c r="G396" s="93">
        <f>5000</f>
        <v/>
      </c>
      <c r="H396" s="90" t="n">
        <v>50</v>
      </c>
      <c r="I396" s="90" t="n">
        <v>0</v>
      </c>
      <c r="J396" s="99" t="inlineStr">
        <is>
          <t>Disponible</t>
        </is>
      </c>
    </row>
    <row r="397" ht="20" customHeight="1">
      <c r="A397" s="95" t="inlineStr">
        <is>
          <t>P084</t>
        </is>
      </c>
      <c r="B397" s="96" t="inlineStr">
        <is>
          <t>P84</t>
        </is>
      </c>
      <c r="C397" s="95" t="inlineStr">
        <is>
          <t>PARKING</t>
        </is>
      </c>
      <c r="D397" s="96" t="inlineStr">
        <is>
          <t>Cochera Plus</t>
        </is>
      </c>
      <c r="E397" s="97" t="n">
        <v>12.5</v>
      </c>
      <c r="F397" s="95" t="inlineStr">
        <is>
          <t>2.5m x 5.0m</t>
        </is>
      </c>
      <c r="G397" s="98">
        <f>5000</f>
        <v/>
      </c>
      <c r="H397" s="95" t="n">
        <v>50</v>
      </c>
      <c r="I397" s="95" t="n">
        <v>0</v>
      </c>
      <c r="J397" s="99" t="inlineStr">
        <is>
          <t>Disponible</t>
        </is>
      </c>
    </row>
    <row r="398" ht="20" customHeight="1">
      <c r="A398" s="90" t="inlineStr">
        <is>
          <t>P085</t>
        </is>
      </c>
      <c r="B398" s="91" t="inlineStr">
        <is>
          <t>P85</t>
        </is>
      </c>
      <c r="C398" s="90" t="inlineStr">
        <is>
          <t>PARKING</t>
        </is>
      </c>
      <c r="D398" s="91" t="inlineStr">
        <is>
          <t>Cochera Plus</t>
        </is>
      </c>
      <c r="E398" s="92" t="n">
        <v>12.5</v>
      </c>
      <c r="F398" s="90" t="inlineStr">
        <is>
          <t>2.5m x 5.0m</t>
        </is>
      </c>
      <c r="G398" s="93">
        <f>5000</f>
        <v/>
      </c>
      <c r="H398" s="90" t="n">
        <v>50</v>
      </c>
      <c r="I398" s="90" t="n">
        <v>0</v>
      </c>
      <c r="J398" s="99" t="inlineStr">
        <is>
          <t>Disponible</t>
        </is>
      </c>
    </row>
    <row r="399" ht="20" customHeight="1">
      <c r="A399" s="95" t="inlineStr">
        <is>
          <t>P086</t>
        </is>
      </c>
      <c r="B399" s="96" t="inlineStr">
        <is>
          <t>P86</t>
        </is>
      </c>
      <c r="C399" s="95" t="inlineStr">
        <is>
          <t>PARKING</t>
        </is>
      </c>
      <c r="D399" s="96" t="inlineStr">
        <is>
          <t>Cochera Plus</t>
        </is>
      </c>
      <c r="E399" s="97" t="n">
        <v>12.5</v>
      </c>
      <c r="F399" s="95" t="inlineStr">
        <is>
          <t>2.5m x 5.0m</t>
        </is>
      </c>
      <c r="G399" s="98">
        <f>5000</f>
        <v/>
      </c>
      <c r="H399" s="95" t="n">
        <v>50</v>
      </c>
      <c r="I399" s="95" t="n">
        <v>0</v>
      </c>
      <c r="J399" s="99" t="inlineStr">
        <is>
          <t>Disponible</t>
        </is>
      </c>
    </row>
    <row r="400" ht="20" customHeight="1">
      <c r="A400" s="90" t="inlineStr">
        <is>
          <t>P087</t>
        </is>
      </c>
      <c r="B400" s="91" t="inlineStr">
        <is>
          <t>P87</t>
        </is>
      </c>
      <c r="C400" s="90" t="inlineStr">
        <is>
          <t>PARKING</t>
        </is>
      </c>
      <c r="D400" s="91" t="inlineStr">
        <is>
          <t>Cochera Plus</t>
        </is>
      </c>
      <c r="E400" s="92" t="n">
        <v>12.5</v>
      </c>
      <c r="F400" s="90" t="inlineStr">
        <is>
          <t>2.5m x 5.0m</t>
        </is>
      </c>
      <c r="G400" s="93">
        <f>5000</f>
        <v/>
      </c>
      <c r="H400" s="90" t="n">
        <v>50</v>
      </c>
      <c r="I400" s="90" t="n">
        <v>0</v>
      </c>
      <c r="J400" s="99" t="inlineStr">
        <is>
          <t>Disponible</t>
        </is>
      </c>
    </row>
    <row r="401" ht="20" customHeight="1">
      <c r="A401" s="95" t="inlineStr">
        <is>
          <t>P088</t>
        </is>
      </c>
      <c r="B401" s="96" t="inlineStr">
        <is>
          <t>P88</t>
        </is>
      </c>
      <c r="C401" s="95" t="inlineStr">
        <is>
          <t>PARKING</t>
        </is>
      </c>
      <c r="D401" s="96" t="inlineStr">
        <is>
          <t>Cochera Plus</t>
        </is>
      </c>
      <c r="E401" s="97" t="n">
        <v>12.5</v>
      </c>
      <c r="F401" s="95" t="inlineStr">
        <is>
          <t>2.5m x 5.0m</t>
        </is>
      </c>
      <c r="G401" s="98">
        <f>5000</f>
        <v/>
      </c>
      <c r="H401" s="95" t="n">
        <v>50</v>
      </c>
      <c r="I401" s="95" t="n">
        <v>0</v>
      </c>
      <c r="J401" s="99" t="inlineStr">
        <is>
          <t>Disponible</t>
        </is>
      </c>
    </row>
    <row r="402" ht="20" customHeight="1">
      <c r="A402" s="90" t="inlineStr">
        <is>
          <t>P089</t>
        </is>
      </c>
      <c r="B402" s="91" t="inlineStr">
        <is>
          <t>P89</t>
        </is>
      </c>
      <c r="C402" s="90" t="inlineStr">
        <is>
          <t>PARKING</t>
        </is>
      </c>
      <c r="D402" s="91" t="inlineStr">
        <is>
          <t>Cochera Plus</t>
        </is>
      </c>
      <c r="E402" s="92" t="n">
        <v>12.5</v>
      </c>
      <c r="F402" s="90" t="inlineStr">
        <is>
          <t>2.5m x 5.0m</t>
        </is>
      </c>
      <c r="G402" s="93">
        <f>5000</f>
        <v/>
      </c>
      <c r="H402" s="90" t="n">
        <v>50</v>
      </c>
      <c r="I402" s="90" t="n">
        <v>0</v>
      </c>
      <c r="J402" s="99" t="inlineStr">
        <is>
          <t>Disponible</t>
        </is>
      </c>
    </row>
    <row r="403" ht="20" customHeight="1">
      <c r="A403" s="95" t="inlineStr">
        <is>
          <t>P090</t>
        </is>
      </c>
      <c r="B403" s="96" t="inlineStr">
        <is>
          <t>P90</t>
        </is>
      </c>
      <c r="C403" s="95" t="inlineStr">
        <is>
          <t>PARKING</t>
        </is>
      </c>
      <c r="D403" s="96" t="inlineStr">
        <is>
          <t>Cochera Plus</t>
        </is>
      </c>
      <c r="E403" s="97" t="n">
        <v>12.5</v>
      </c>
      <c r="F403" s="95" t="inlineStr">
        <is>
          <t>2.5m x 5.0m</t>
        </is>
      </c>
      <c r="G403" s="98">
        <f>5000</f>
        <v/>
      </c>
      <c r="H403" s="95" t="n">
        <v>50</v>
      </c>
      <c r="I403" s="95" t="n">
        <v>0</v>
      </c>
      <c r="J403" s="99" t="inlineStr">
        <is>
          <t>Disponible</t>
        </is>
      </c>
    </row>
    <row r="404" ht="20" customHeight="1">
      <c r="A404" s="90" t="inlineStr">
        <is>
          <t>P091</t>
        </is>
      </c>
      <c r="B404" s="91" t="inlineStr">
        <is>
          <t>P91</t>
        </is>
      </c>
      <c r="C404" s="90" t="inlineStr">
        <is>
          <t>PARKING</t>
        </is>
      </c>
      <c r="D404" s="91" t="inlineStr">
        <is>
          <t>Cochera Plus</t>
        </is>
      </c>
      <c r="E404" s="92" t="n">
        <v>12.5</v>
      </c>
      <c r="F404" s="90" t="inlineStr">
        <is>
          <t>2.5m x 5.0m</t>
        </is>
      </c>
      <c r="G404" s="93">
        <f>5000</f>
        <v/>
      </c>
      <c r="H404" s="90" t="n">
        <v>50</v>
      </c>
      <c r="I404" s="90" t="n">
        <v>0</v>
      </c>
      <c r="J404" s="99" t="inlineStr">
        <is>
          <t>Disponible</t>
        </is>
      </c>
    </row>
    <row r="405" ht="20" customHeight="1">
      <c r="A405" s="95" t="inlineStr">
        <is>
          <t>P092</t>
        </is>
      </c>
      <c r="B405" s="96" t="inlineStr">
        <is>
          <t>P92</t>
        </is>
      </c>
      <c r="C405" s="95" t="inlineStr">
        <is>
          <t>PARKING</t>
        </is>
      </c>
      <c r="D405" s="96" t="inlineStr">
        <is>
          <t>Cochera Plus</t>
        </is>
      </c>
      <c r="E405" s="97" t="n">
        <v>12.5</v>
      </c>
      <c r="F405" s="95" t="inlineStr">
        <is>
          <t>2.5m x 5.0m</t>
        </is>
      </c>
      <c r="G405" s="98">
        <f>5000</f>
        <v/>
      </c>
      <c r="H405" s="95" t="n">
        <v>50</v>
      </c>
      <c r="I405" s="95" t="n">
        <v>0</v>
      </c>
      <c r="J405" s="99" t="inlineStr">
        <is>
          <t>Disponible</t>
        </is>
      </c>
    </row>
    <row r="406" ht="20" customHeight="1">
      <c r="A406" s="90" t="inlineStr">
        <is>
          <t>P093</t>
        </is>
      </c>
      <c r="B406" s="91" t="inlineStr">
        <is>
          <t>P93</t>
        </is>
      </c>
      <c r="C406" s="90" t="inlineStr">
        <is>
          <t>PARKING</t>
        </is>
      </c>
      <c r="D406" s="91" t="inlineStr">
        <is>
          <t>Cochera Plus</t>
        </is>
      </c>
      <c r="E406" s="92" t="n">
        <v>12.5</v>
      </c>
      <c r="F406" s="90" t="inlineStr">
        <is>
          <t>2.5m x 5.0m</t>
        </is>
      </c>
      <c r="G406" s="93">
        <f>5000</f>
        <v/>
      </c>
      <c r="H406" s="90" t="n">
        <v>50</v>
      </c>
      <c r="I406" s="90" t="n">
        <v>0</v>
      </c>
      <c r="J406" s="99" t="inlineStr">
        <is>
          <t>Disponible</t>
        </is>
      </c>
    </row>
    <row r="407" ht="20" customHeight="1">
      <c r="A407" s="95" t="inlineStr">
        <is>
          <t>P094</t>
        </is>
      </c>
      <c r="B407" s="96" t="inlineStr">
        <is>
          <t>P94</t>
        </is>
      </c>
      <c r="C407" s="95" t="inlineStr">
        <is>
          <t>PARKING</t>
        </is>
      </c>
      <c r="D407" s="96" t="inlineStr">
        <is>
          <t>Cochera Plus</t>
        </is>
      </c>
      <c r="E407" s="97" t="n">
        <v>12.5</v>
      </c>
      <c r="F407" s="95" t="inlineStr">
        <is>
          <t>2.5m x 5.0m</t>
        </is>
      </c>
      <c r="G407" s="98">
        <f>5000</f>
        <v/>
      </c>
      <c r="H407" s="95" t="n">
        <v>50</v>
      </c>
      <c r="I407" s="95" t="n">
        <v>0</v>
      </c>
      <c r="J407" s="99" t="inlineStr">
        <is>
          <t>Disponible</t>
        </is>
      </c>
    </row>
    <row r="408" ht="20" customHeight="1">
      <c r="A408" s="90" t="inlineStr">
        <is>
          <t>P095</t>
        </is>
      </c>
      <c r="B408" s="91" t="inlineStr">
        <is>
          <t>P95</t>
        </is>
      </c>
      <c r="C408" s="90" t="inlineStr">
        <is>
          <t>PARKING</t>
        </is>
      </c>
      <c r="D408" s="91" t="inlineStr">
        <is>
          <t>Cochera Plus</t>
        </is>
      </c>
      <c r="E408" s="92" t="n">
        <v>12.5</v>
      </c>
      <c r="F408" s="90" t="inlineStr">
        <is>
          <t>2.5m x 5.0m</t>
        </is>
      </c>
      <c r="G408" s="93">
        <f>5000</f>
        <v/>
      </c>
      <c r="H408" s="90" t="n">
        <v>50</v>
      </c>
      <c r="I408" s="90" t="n">
        <v>0</v>
      </c>
      <c r="J408" s="99" t="inlineStr">
        <is>
          <t>Disponible</t>
        </is>
      </c>
    </row>
    <row r="409" ht="20" customHeight="1">
      <c r="A409" s="95" t="inlineStr">
        <is>
          <t>P096</t>
        </is>
      </c>
      <c r="B409" s="96" t="inlineStr">
        <is>
          <t>P96</t>
        </is>
      </c>
      <c r="C409" s="95" t="inlineStr">
        <is>
          <t>PARKING</t>
        </is>
      </c>
      <c r="D409" s="96" t="inlineStr">
        <is>
          <t>Cochera Plus</t>
        </is>
      </c>
      <c r="E409" s="97" t="n">
        <v>12.5</v>
      </c>
      <c r="F409" s="95" t="inlineStr">
        <is>
          <t>2.5m x 5.0m</t>
        </is>
      </c>
      <c r="G409" s="98">
        <f>5000</f>
        <v/>
      </c>
      <c r="H409" s="95" t="n">
        <v>50</v>
      </c>
      <c r="I409" s="95" t="n">
        <v>0</v>
      </c>
      <c r="J409" s="99" t="inlineStr">
        <is>
          <t>Disponible</t>
        </is>
      </c>
    </row>
    <row r="410" ht="20" customHeight="1">
      <c r="A410" s="90" t="inlineStr">
        <is>
          <t>P097</t>
        </is>
      </c>
      <c r="B410" s="91" t="inlineStr">
        <is>
          <t>P97</t>
        </is>
      </c>
      <c r="C410" s="90" t="inlineStr">
        <is>
          <t>PARKING</t>
        </is>
      </c>
      <c r="D410" s="91" t="inlineStr">
        <is>
          <t>Cochera Plus</t>
        </is>
      </c>
      <c r="E410" s="92" t="n">
        <v>12.5</v>
      </c>
      <c r="F410" s="90" t="inlineStr">
        <is>
          <t>2.5m x 5.0m</t>
        </is>
      </c>
      <c r="G410" s="93">
        <f>5000</f>
        <v/>
      </c>
      <c r="H410" s="90" t="n">
        <v>50</v>
      </c>
      <c r="I410" s="90" t="n">
        <v>0</v>
      </c>
      <c r="J410" s="99" t="inlineStr">
        <is>
          <t>Disponible</t>
        </is>
      </c>
    </row>
    <row r="411" ht="20" customHeight="1">
      <c r="A411" s="95" t="inlineStr">
        <is>
          <t>P098</t>
        </is>
      </c>
      <c r="B411" s="96" t="inlineStr">
        <is>
          <t>P98</t>
        </is>
      </c>
      <c r="C411" s="95" t="inlineStr">
        <is>
          <t>PARKING</t>
        </is>
      </c>
      <c r="D411" s="96" t="inlineStr">
        <is>
          <t>Cochera Plus</t>
        </is>
      </c>
      <c r="E411" s="97" t="n">
        <v>12.5</v>
      </c>
      <c r="F411" s="95" t="inlineStr">
        <is>
          <t>2.5m x 5.0m</t>
        </is>
      </c>
      <c r="G411" s="98">
        <f>5000</f>
        <v/>
      </c>
      <c r="H411" s="95" t="n">
        <v>50</v>
      </c>
      <c r="I411" s="95" t="n">
        <v>0</v>
      </c>
      <c r="J411" s="99" t="inlineStr">
        <is>
          <t>Disponible</t>
        </is>
      </c>
    </row>
    <row r="412" ht="20" customHeight="1">
      <c r="A412" s="90" t="inlineStr">
        <is>
          <t>P099</t>
        </is>
      </c>
      <c r="B412" s="91" t="inlineStr">
        <is>
          <t>P99</t>
        </is>
      </c>
      <c r="C412" s="90" t="inlineStr">
        <is>
          <t>PARKING</t>
        </is>
      </c>
      <c r="D412" s="91" t="inlineStr">
        <is>
          <t>Cochera Plus</t>
        </is>
      </c>
      <c r="E412" s="92" t="n">
        <v>12.5</v>
      </c>
      <c r="F412" s="90" t="inlineStr">
        <is>
          <t>2.5m x 5.0m</t>
        </is>
      </c>
      <c r="G412" s="93">
        <f>5000</f>
        <v/>
      </c>
      <c r="H412" s="90" t="n">
        <v>50</v>
      </c>
      <c r="I412" s="90" t="n">
        <v>0</v>
      </c>
      <c r="J412" s="99" t="inlineStr">
        <is>
          <t>Disponible</t>
        </is>
      </c>
    </row>
    <row r="413" ht="20" customHeight="1">
      <c r="A413" s="95" t="inlineStr">
        <is>
          <t>P100</t>
        </is>
      </c>
      <c r="B413" s="96" t="inlineStr">
        <is>
          <t>P100</t>
        </is>
      </c>
      <c r="C413" s="95" t="inlineStr">
        <is>
          <t>PARKING</t>
        </is>
      </c>
      <c r="D413" s="96" t="inlineStr">
        <is>
          <t>Cochera Plus</t>
        </is>
      </c>
      <c r="E413" s="97" t="n">
        <v>12.5</v>
      </c>
      <c r="F413" s="95" t="inlineStr">
        <is>
          <t>2.5m x 5.0m</t>
        </is>
      </c>
      <c r="G413" s="98">
        <f>5000</f>
        <v/>
      </c>
      <c r="H413" s="95" t="n">
        <v>50</v>
      </c>
      <c r="I413" s="95" t="n">
        <v>0</v>
      </c>
      <c r="J413" s="99" t="inlineStr">
        <is>
          <t>Disponible</t>
        </is>
      </c>
    </row>
    <row r="414" ht="20" customHeight="1">
      <c r="A414" s="90" t="inlineStr">
        <is>
          <t>P101</t>
        </is>
      </c>
      <c r="B414" s="91" t="inlineStr">
        <is>
          <t>P101</t>
        </is>
      </c>
      <c r="C414" s="90" t="inlineStr">
        <is>
          <t>PARKING</t>
        </is>
      </c>
      <c r="D414" s="91" t="inlineStr">
        <is>
          <t>Cochera Plus</t>
        </is>
      </c>
      <c r="E414" s="92" t="n">
        <v>12.5</v>
      </c>
      <c r="F414" s="90" t="inlineStr">
        <is>
          <t>2.5m x 5.0m</t>
        </is>
      </c>
      <c r="G414" s="93">
        <f>5000</f>
        <v/>
      </c>
      <c r="H414" s="90" t="n">
        <v>50</v>
      </c>
      <c r="I414" s="90" t="n">
        <v>0</v>
      </c>
      <c r="J414" s="99" t="inlineStr">
        <is>
          <t>Disponible</t>
        </is>
      </c>
    </row>
    <row r="415" ht="20" customHeight="1">
      <c r="A415" s="95" t="inlineStr">
        <is>
          <t>P102</t>
        </is>
      </c>
      <c r="B415" s="96" t="inlineStr">
        <is>
          <t>P102</t>
        </is>
      </c>
      <c r="C415" s="95" t="inlineStr">
        <is>
          <t>PARKING</t>
        </is>
      </c>
      <c r="D415" s="96" t="inlineStr">
        <is>
          <t>Cochera Plus</t>
        </is>
      </c>
      <c r="E415" s="97" t="n">
        <v>12.5</v>
      </c>
      <c r="F415" s="95" t="inlineStr">
        <is>
          <t>2.5m x 5.0m</t>
        </is>
      </c>
      <c r="G415" s="98">
        <f>5000</f>
        <v/>
      </c>
      <c r="H415" s="95" t="n">
        <v>50</v>
      </c>
      <c r="I415" s="95" t="n">
        <v>0</v>
      </c>
      <c r="J415" s="99" t="inlineStr">
        <is>
          <t>Disponible</t>
        </is>
      </c>
    </row>
    <row r="416" ht="20" customHeight="1">
      <c r="A416" s="90" t="inlineStr">
        <is>
          <t>P103</t>
        </is>
      </c>
      <c r="B416" s="91" t="inlineStr">
        <is>
          <t>P103</t>
        </is>
      </c>
      <c r="C416" s="90" t="inlineStr">
        <is>
          <t>PARKING</t>
        </is>
      </c>
      <c r="D416" s="91" t="inlineStr">
        <is>
          <t>Cochera Plus</t>
        </is>
      </c>
      <c r="E416" s="92" t="n">
        <v>12.5</v>
      </c>
      <c r="F416" s="90" t="inlineStr">
        <is>
          <t>2.5m x 5.0m</t>
        </is>
      </c>
      <c r="G416" s="93">
        <f>5000</f>
        <v/>
      </c>
      <c r="H416" s="90" t="n">
        <v>50</v>
      </c>
      <c r="I416" s="90" t="n">
        <v>0</v>
      </c>
      <c r="J416" s="99" t="inlineStr">
        <is>
          <t>Disponible</t>
        </is>
      </c>
    </row>
    <row r="417" ht="20" customHeight="1">
      <c r="A417" s="95" t="inlineStr">
        <is>
          <t>P104</t>
        </is>
      </c>
      <c r="B417" s="96" t="inlineStr">
        <is>
          <t>P104</t>
        </is>
      </c>
      <c r="C417" s="95" t="inlineStr">
        <is>
          <t>PARKING</t>
        </is>
      </c>
      <c r="D417" s="96" t="inlineStr">
        <is>
          <t>Cochera Plus</t>
        </is>
      </c>
      <c r="E417" s="97" t="n">
        <v>12.5</v>
      </c>
      <c r="F417" s="95" t="inlineStr">
        <is>
          <t>2.5m x 5.0m</t>
        </is>
      </c>
      <c r="G417" s="98">
        <f>5000</f>
        <v/>
      </c>
      <c r="H417" s="95" t="n">
        <v>50</v>
      </c>
      <c r="I417" s="95" t="n">
        <v>0</v>
      </c>
      <c r="J417" s="99" t="inlineStr">
        <is>
          <t>Disponible</t>
        </is>
      </c>
    </row>
    <row r="418" ht="20" customHeight="1">
      <c r="A418" s="90" t="inlineStr">
        <is>
          <t>P105</t>
        </is>
      </c>
      <c r="B418" s="91" t="inlineStr">
        <is>
          <t>P105</t>
        </is>
      </c>
      <c r="C418" s="90" t="inlineStr">
        <is>
          <t>PARKING</t>
        </is>
      </c>
      <c r="D418" s="91" t="inlineStr">
        <is>
          <t>Cochera Plus</t>
        </is>
      </c>
      <c r="E418" s="92" t="n">
        <v>12.5</v>
      </c>
      <c r="F418" s="90" t="inlineStr">
        <is>
          <t>2.5m x 5.0m</t>
        </is>
      </c>
      <c r="G418" s="93">
        <f>5000</f>
        <v/>
      </c>
      <c r="H418" s="90" t="n">
        <v>50</v>
      </c>
      <c r="I418" s="90" t="n">
        <v>0</v>
      </c>
      <c r="J418" s="99" t="inlineStr">
        <is>
          <t>Disponible</t>
        </is>
      </c>
    </row>
    <row r="419" ht="20" customHeight="1">
      <c r="A419" s="95" t="inlineStr">
        <is>
          <t>P106</t>
        </is>
      </c>
      <c r="B419" s="96" t="inlineStr">
        <is>
          <t>P106</t>
        </is>
      </c>
      <c r="C419" s="95" t="inlineStr">
        <is>
          <t>PARKING</t>
        </is>
      </c>
      <c r="D419" s="96" t="inlineStr">
        <is>
          <t>Cochera Plus</t>
        </is>
      </c>
      <c r="E419" s="97" t="n">
        <v>12.5</v>
      </c>
      <c r="F419" s="95" t="inlineStr">
        <is>
          <t>2.5m x 5.0m</t>
        </is>
      </c>
      <c r="G419" s="98">
        <f>5000</f>
        <v/>
      </c>
      <c r="H419" s="95" t="n">
        <v>50</v>
      </c>
      <c r="I419" s="95" t="n">
        <v>0</v>
      </c>
      <c r="J419" s="99" t="inlineStr">
        <is>
          <t>Disponible</t>
        </is>
      </c>
    </row>
    <row r="420" ht="20" customHeight="1">
      <c r="A420" s="90" t="inlineStr">
        <is>
          <t>P107</t>
        </is>
      </c>
      <c r="B420" s="91" t="inlineStr">
        <is>
          <t>P107</t>
        </is>
      </c>
      <c r="C420" s="90" t="inlineStr">
        <is>
          <t>PARKING</t>
        </is>
      </c>
      <c r="D420" s="91" t="inlineStr">
        <is>
          <t>Cochera Plus</t>
        </is>
      </c>
      <c r="E420" s="92" t="n">
        <v>12.5</v>
      </c>
      <c r="F420" s="90" t="inlineStr">
        <is>
          <t>2.5m x 5.0m</t>
        </is>
      </c>
      <c r="G420" s="93">
        <f>5000</f>
        <v/>
      </c>
      <c r="H420" s="90" t="n">
        <v>50</v>
      </c>
      <c r="I420" s="90" t="n">
        <v>0</v>
      </c>
      <c r="J420" s="99" t="inlineStr">
        <is>
          <t>Disponible</t>
        </is>
      </c>
    </row>
    <row r="421" ht="20" customHeight="1">
      <c r="A421" s="95" t="inlineStr">
        <is>
          <t>P108</t>
        </is>
      </c>
      <c r="B421" s="96" t="inlineStr">
        <is>
          <t>P108</t>
        </is>
      </c>
      <c r="C421" s="95" t="inlineStr">
        <is>
          <t>PARKING</t>
        </is>
      </c>
      <c r="D421" s="96" t="inlineStr">
        <is>
          <t>Cochera Plus</t>
        </is>
      </c>
      <c r="E421" s="97" t="n">
        <v>12.5</v>
      </c>
      <c r="F421" s="95" t="inlineStr">
        <is>
          <t>2.5m x 5.0m</t>
        </is>
      </c>
      <c r="G421" s="98">
        <f>5000</f>
        <v/>
      </c>
      <c r="H421" s="95" t="n">
        <v>50</v>
      </c>
      <c r="I421" s="95" t="n">
        <v>0</v>
      </c>
      <c r="J421" s="99" t="inlineStr">
        <is>
          <t>Disponible</t>
        </is>
      </c>
    </row>
    <row r="422" ht="20" customHeight="1">
      <c r="A422" s="90" t="inlineStr">
        <is>
          <t>P109</t>
        </is>
      </c>
      <c r="B422" s="91" t="inlineStr">
        <is>
          <t>P109</t>
        </is>
      </c>
      <c r="C422" s="90" t="inlineStr">
        <is>
          <t>PARKING</t>
        </is>
      </c>
      <c r="D422" s="91" t="inlineStr">
        <is>
          <t>Cochera Plus</t>
        </is>
      </c>
      <c r="E422" s="92" t="n">
        <v>12.5</v>
      </c>
      <c r="F422" s="90" t="inlineStr">
        <is>
          <t>2.5m x 5.0m</t>
        </is>
      </c>
      <c r="G422" s="93">
        <f>5000</f>
        <v/>
      </c>
      <c r="H422" s="90" t="n">
        <v>50</v>
      </c>
      <c r="I422" s="90" t="n">
        <v>0</v>
      </c>
      <c r="J422" s="99" t="inlineStr">
        <is>
          <t>Disponible</t>
        </is>
      </c>
    </row>
    <row r="423" ht="20" customHeight="1">
      <c r="A423" s="95" t="inlineStr">
        <is>
          <t>P110</t>
        </is>
      </c>
      <c r="B423" s="96" t="inlineStr">
        <is>
          <t>P110</t>
        </is>
      </c>
      <c r="C423" s="95" t="inlineStr">
        <is>
          <t>PARKING</t>
        </is>
      </c>
      <c r="D423" s="96" t="inlineStr">
        <is>
          <t>Cochera Plus</t>
        </is>
      </c>
      <c r="E423" s="97" t="n">
        <v>12.5</v>
      </c>
      <c r="F423" s="95" t="inlineStr">
        <is>
          <t>2.5m x 5.0m</t>
        </is>
      </c>
      <c r="G423" s="98">
        <f>5000</f>
        <v/>
      </c>
      <c r="H423" s="95" t="n">
        <v>50</v>
      </c>
      <c r="I423" s="95" t="n">
        <v>0</v>
      </c>
      <c r="J423" s="99" t="inlineStr">
        <is>
          <t>Disponible</t>
        </is>
      </c>
    </row>
    <row r="424" ht="20" customHeight="1">
      <c r="A424" s="90" t="inlineStr">
        <is>
          <t>P111</t>
        </is>
      </c>
      <c r="B424" s="91" t="inlineStr">
        <is>
          <t>P111</t>
        </is>
      </c>
      <c r="C424" s="90" t="inlineStr">
        <is>
          <t>PARKING</t>
        </is>
      </c>
      <c r="D424" s="91" t="inlineStr">
        <is>
          <t>Cochera Plus</t>
        </is>
      </c>
      <c r="E424" s="92" t="n">
        <v>12.5</v>
      </c>
      <c r="F424" s="90" t="inlineStr">
        <is>
          <t>2.5m x 5.0m</t>
        </is>
      </c>
      <c r="G424" s="93">
        <f>5000</f>
        <v/>
      </c>
      <c r="H424" s="90" t="n">
        <v>50</v>
      </c>
      <c r="I424" s="90" t="n">
        <v>0</v>
      </c>
      <c r="J424" s="99" t="inlineStr">
        <is>
          <t>Disponible</t>
        </is>
      </c>
    </row>
    <row r="425" ht="20" customHeight="1">
      <c r="A425" s="95" t="inlineStr">
        <is>
          <t>P112</t>
        </is>
      </c>
      <c r="B425" s="96" t="inlineStr">
        <is>
          <t>P112</t>
        </is>
      </c>
      <c r="C425" s="95" t="inlineStr">
        <is>
          <t>PARKING</t>
        </is>
      </c>
      <c r="D425" s="96" t="inlineStr">
        <is>
          <t>Cochera Plus</t>
        </is>
      </c>
      <c r="E425" s="97" t="n">
        <v>12.5</v>
      </c>
      <c r="F425" s="95" t="inlineStr">
        <is>
          <t>2.5m x 5.0m</t>
        </is>
      </c>
      <c r="G425" s="98">
        <f>5000</f>
        <v/>
      </c>
      <c r="H425" s="95" t="n">
        <v>50</v>
      </c>
      <c r="I425" s="95" t="n">
        <v>0</v>
      </c>
      <c r="J425" s="99" t="inlineStr">
        <is>
          <t>Disponible</t>
        </is>
      </c>
    </row>
    <row r="426" ht="20" customHeight="1">
      <c r="A426" s="90" t="inlineStr">
        <is>
          <t>P113</t>
        </is>
      </c>
      <c r="B426" s="91" t="inlineStr">
        <is>
          <t>P113</t>
        </is>
      </c>
      <c r="C426" s="90" t="inlineStr">
        <is>
          <t>PARKING</t>
        </is>
      </c>
      <c r="D426" s="91" t="inlineStr">
        <is>
          <t>Cochera Plus</t>
        </is>
      </c>
      <c r="E426" s="92" t="n">
        <v>12.5</v>
      </c>
      <c r="F426" s="90" t="inlineStr">
        <is>
          <t>2.5m x 5.0m</t>
        </is>
      </c>
      <c r="G426" s="93">
        <f>5000</f>
        <v/>
      </c>
      <c r="H426" s="90" t="n">
        <v>50</v>
      </c>
      <c r="I426" s="90" t="n">
        <v>0</v>
      </c>
      <c r="J426" s="99" t="inlineStr">
        <is>
          <t>Disponible</t>
        </is>
      </c>
    </row>
    <row r="427" ht="20" customHeight="1">
      <c r="A427" s="95" t="inlineStr">
        <is>
          <t>P114</t>
        </is>
      </c>
      <c r="B427" s="96" t="inlineStr">
        <is>
          <t>P114</t>
        </is>
      </c>
      <c r="C427" s="95" t="inlineStr">
        <is>
          <t>PARKING</t>
        </is>
      </c>
      <c r="D427" s="96" t="inlineStr">
        <is>
          <t>Cochera Plus</t>
        </is>
      </c>
      <c r="E427" s="97" t="n">
        <v>12.5</v>
      </c>
      <c r="F427" s="95" t="inlineStr">
        <is>
          <t>2.5m x 5.0m</t>
        </is>
      </c>
      <c r="G427" s="98">
        <f>5000</f>
        <v/>
      </c>
      <c r="H427" s="95" t="n">
        <v>50</v>
      </c>
      <c r="I427" s="95" t="n">
        <v>0</v>
      </c>
      <c r="J427" s="99" t="inlineStr">
        <is>
          <t>Disponible</t>
        </is>
      </c>
    </row>
    <row r="428" ht="20" customHeight="1">
      <c r="A428" s="90" t="inlineStr">
        <is>
          <t>P115</t>
        </is>
      </c>
      <c r="B428" s="91" t="inlineStr">
        <is>
          <t>P115</t>
        </is>
      </c>
      <c r="C428" s="90" t="inlineStr">
        <is>
          <t>PARKING</t>
        </is>
      </c>
      <c r="D428" s="91" t="inlineStr">
        <is>
          <t>Cochera Plus</t>
        </is>
      </c>
      <c r="E428" s="92" t="n">
        <v>12.5</v>
      </c>
      <c r="F428" s="90" t="inlineStr">
        <is>
          <t>2.5m x 5.0m</t>
        </is>
      </c>
      <c r="G428" s="93">
        <f>5000</f>
        <v/>
      </c>
      <c r="H428" s="90" t="n">
        <v>50</v>
      </c>
      <c r="I428" s="90" t="n">
        <v>0</v>
      </c>
      <c r="J428" s="99" t="inlineStr">
        <is>
          <t>Disponible</t>
        </is>
      </c>
    </row>
    <row r="429" ht="20" customHeight="1">
      <c r="A429" s="95" t="inlineStr">
        <is>
          <t>P116</t>
        </is>
      </c>
      <c r="B429" s="96" t="inlineStr">
        <is>
          <t>P116</t>
        </is>
      </c>
      <c r="C429" s="95" t="inlineStr">
        <is>
          <t>PARKING</t>
        </is>
      </c>
      <c r="D429" s="96" t="inlineStr">
        <is>
          <t>Cochera Plus</t>
        </is>
      </c>
      <c r="E429" s="97" t="n">
        <v>12.5</v>
      </c>
      <c r="F429" s="95" t="inlineStr">
        <is>
          <t>2.5m x 5.0m</t>
        </is>
      </c>
      <c r="G429" s="98">
        <f>5000</f>
        <v/>
      </c>
      <c r="H429" s="95" t="n">
        <v>50</v>
      </c>
      <c r="I429" s="95" t="n">
        <v>0</v>
      </c>
      <c r="J429" s="99" t="inlineStr">
        <is>
          <t>Disponible</t>
        </is>
      </c>
    </row>
    <row r="430" ht="20" customHeight="1">
      <c r="A430" s="90" t="inlineStr">
        <is>
          <t>P117</t>
        </is>
      </c>
      <c r="B430" s="91" t="inlineStr">
        <is>
          <t>P117</t>
        </is>
      </c>
      <c r="C430" s="90" t="inlineStr">
        <is>
          <t>PARKING</t>
        </is>
      </c>
      <c r="D430" s="91" t="inlineStr">
        <is>
          <t>Cochera Plus</t>
        </is>
      </c>
      <c r="E430" s="92" t="n">
        <v>12.5</v>
      </c>
      <c r="F430" s="90" t="inlineStr">
        <is>
          <t>2.5m x 5.0m</t>
        </is>
      </c>
      <c r="G430" s="93">
        <f>5000</f>
        <v/>
      </c>
      <c r="H430" s="90" t="n">
        <v>50</v>
      </c>
      <c r="I430" s="90" t="n">
        <v>0</v>
      </c>
      <c r="J430" s="99" t="inlineStr">
        <is>
          <t>Disponible</t>
        </is>
      </c>
    </row>
    <row r="431" ht="20" customHeight="1">
      <c r="A431" s="95" t="inlineStr">
        <is>
          <t>P118</t>
        </is>
      </c>
      <c r="B431" s="96" t="inlineStr">
        <is>
          <t>P118</t>
        </is>
      </c>
      <c r="C431" s="95" t="inlineStr">
        <is>
          <t>PARKING</t>
        </is>
      </c>
      <c r="D431" s="96" t="inlineStr">
        <is>
          <t>Cochera Plus</t>
        </is>
      </c>
      <c r="E431" s="97" t="n">
        <v>12.5</v>
      </c>
      <c r="F431" s="95" t="inlineStr">
        <is>
          <t>2.5m x 5.0m</t>
        </is>
      </c>
      <c r="G431" s="98">
        <f>5000</f>
        <v/>
      </c>
      <c r="H431" s="95" t="n">
        <v>50</v>
      </c>
      <c r="I431" s="95" t="n">
        <v>0</v>
      </c>
      <c r="J431" s="99" t="inlineStr">
        <is>
          <t>Disponible</t>
        </is>
      </c>
    </row>
    <row r="432" ht="20" customHeight="1">
      <c r="A432" s="90" t="inlineStr">
        <is>
          <t>P119</t>
        </is>
      </c>
      <c r="B432" s="91" t="inlineStr">
        <is>
          <t>P119</t>
        </is>
      </c>
      <c r="C432" s="90" t="inlineStr">
        <is>
          <t>PARKING</t>
        </is>
      </c>
      <c r="D432" s="91" t="inlineStr">
        <is>
          <t>Cochera Plus</t>
        </is>
      </c>
      <c r="E432" s="92" t="n">
        <v>12.5</v>
      </c>
      <c r="F432" s="90" t="inlineStr">
        <is>
          <t>2.5m x 5.0m</t>
        </is>
      </c>
      <c r="G432" s="93">
        <f>5000</f>
        <v/>
      </c>
      <c r="H432" s="90" t="n">
        <v>50</v>
      </c>
      <c r="I432" s="90" t="n">
        <v>0</v>
      </c>
      <c r="J432" s="99" t="inlineStr">
        <is>
          <t>Disponible</t>
        </is>
      </c>
    </row>
    <row r="433" ht="20" customHeight="1">
      <c r="A433" s="95" t="inlineStr">
        <is>
          <t>P120</t>
        </is>
      </c>
      <c r="B433" s="96" t="inlineStr">
        <is>
          <t>P120</t>
        </is>
      </c>
      <c r="C433" s="95" t="inlineStr">
        <is>
          <t>PARKING</t>
        </is>
      </c>
      <c r="D433" s="96" t="inlineStr">
        <is>
          <t>Cochera Plus</t>
        </is>
      </c>
      <c r="E433" s="97" t="n">
        <v>12.5</v>
      </c>
      <c r="F433" s="95" t="inlineStr">
        <is>
          <t>2.5m x 5.0m</t>
        </is>
      </c>
      <c r="G433" s="98">
        <f>5000</f>
        <v/>
      </c>
      <c r="H433" s="95" t="n">
        <v>50</v>
      </c>
      <c r="I433" s="95" t="n">
        <v>0</v>
      </c>
      <c r="J433" s="99" t="inlineStr">
        <is>
          <t>Disponible</t>
        </is>
      </c>
    </row>
    <row r="434" ht="20" customHeight="1">
      <c r="A434" s="90" t="inlineStr">
        <is>
          <t>P121</t>
        </is>
      </c>
      <c r="B434" s="91" t="inlineStr">
        <is>
          <t>P121</t>
        </is>
      </c>
      <c r="C434" s="90" t="inlineStr">
        <is>
          <t>PARKING</t>
        </is>
      </c>
      <c r="D434" s="91" t="inlineStr">
        <is>
          <t>Cochera Plus</t>
        </is>
      </c>
      <c r="E434" s="92" t="n">
        <v>12.5</v>
      </c>
      <c r="F434" s="90" t="inlineStr">
        <is>
          <t>2.5m x 5.0m</t>
        </is>
      </c>
      <c r="G434" s="93">
        <f>5000</f>
        <v/>
      </c>
      <c r="H434" s="90" t="n">
        <v>50</v>
      </c>
      <c r="I434" s="90" t="n">
        <v>0</v>
      </c>
      <c r="J434" s="99" t="inlineStr">
        <is>
          <t>Disponible</t>
        </is>
      </c>
    </row>
    <row r="435" ht="20" customHeight="1">
      <c r="A435" s="95" t="inlineStr">
        <is>
          <t>P122</t>
        </is>
      </c>
      <c r="B435" s="96" t="inlineStr">
        <is>
          <t>P122</t>
        </is>
      </c>
      <c r="C435" s="95" t="inlineStr">
        <is>
          <t>PARKING</t>
        </is>
      </c>
      <c r="D435" s="96" t="inlineStr">
        <is>
          <t>Cochera Plus</t>
        </is>
      </c>
      <c r="E435" s="97" t="n">
        <v>12.5</v>
      </c>
      <c r="F435" s="95" t="inlineStr">
        <is>
          <t>2.5m x 5.0m</t>
        </is>
      </c>
      <c r="G435" s="98">
        <f>5000</f>
        <v/>
      </c>
      <c r="H435" s="95" t="n">
        <v>50</v>
      </c>
      <c r="I435" s="95" t="n">
        <v>0</v>
      </c>
      <c r="J435" s="99" t="inlineStr">
        <is>
          <t>Disponible</t>
        </is>
      </c>
    </row>
    <row r="436" ht="20" customHeight="1">
      <c r="A436" s="90" t="inlineStr">
        <is>
          <t>P123</t>
        </is>
      </c>
      <c r="B436" s="91" t="inlineStr">
        <is>
          <t>P123</t>
        </is>
      </c>
      <c r="C436" s="90" t="inlineStr">
        <is>
          <t>PARKING</t>
        </is>
      </c>
      <c r="D436" s="91" t="inlineStr">
        <is>
          <t>Cochera Plus</t>
        </is>
      </c>
      <c r="E436" s="92" t="n">
        <v>12.5</v>
      </c>
      <c r="F436" s="90" t="inlineStr">
        <is>
          <t>2.5m x 5.0m</t>
        </is>
      </c>
      <c r="G436" s="93">
        <f>5000</f>
        <v/>
      </c>
      <c r="H436" s="90" t="n">
        <v>50</v>
      </c>
      <c r="I436" s="90" t="n">
        <v>0</v>
      </c>
      <c r="J436" s="99" t="inlineStr">
        <is>
          <t>Disponible</t>
        </is>
      </c>
    </row>
    <row r="437" ht="20" customHeight="1">
      <c r="A437" s="95" t="inlineStr">
        <is>
          <t>P124</t>
        </is>
      </c>
      <c r="B437" s="96" t="inlineStr">
        <is>
          <t>P124</t>
        </is>
      </c>
      <c r="C437" s="95" t="inlineStr">
        <is>
          <t>PARKING</t>
        </is>
      </c>
      <c r="D437" s="96" t="inlineStr">
        <is>
          <t>Cochera Plus</t>
        </is>
      </c>
      <c r="E437" s="97" t="n">
        <v>12.5</v>
      </c>
      <c r="F437" s="95" t="inlineStr">
        <is>
          <t>2.5m x 5.0m</t>
        </is>
      </c>
      <c r="G437" s="98">
        <f>5000</f>
        <v/>
      </c>
      <c r="H437" s="95" t="n">
        <v>50</v>
      </c>
      <c r="I437" s="95" t="n">
        <v>0</v>
      </c>
      <c r="J437" s="99" t="inlineStr">
        <is>
          <t>Disponible</t>
        </is>
      </c>
    </row>
    <row r="438" ht="20" customHeight="1">
      <c r="A438" s="90" t="inlineStr">
        <is>
          <t>P125</t>
        </is>
      </c>
      <c r="B438" s="91" t="inlineStr">
        <is>
          <t>P125</t>
        </is>
      </c>
      <c r="C438" s="90" t="inlineStr">
        <is>
          <t>PARKING</t>
        </is>
      </c>
      <c r="D438" s="91" t="inlineStr">
        <is>
          <t>Cochera Plus</t>
        </is>
      </c>
      <c r="E438" s="92" t="n">
        <v>12.5</v>
      </c>
      <c r="F438" s="90" t="inlineStr">
        <is>
          <t>2.5m x 5.0m</t>
        </is>
      </c>
      <c r="G438" s="93">
        <f>5000</f>
        <v/>
      </c>
      <c r="H438" s="90" t="n">
        <v>50</v>
      </c>
      <c r="I438" s="90" t="n">
        <v>0</v>
      </c>
      <c r="J438" s="99" t="inlineStr">
        <is>
          <t>Disponible</t>
        </is>
      </c>
    </row>
    <row r="439" ht="20" customHeight="1">
      <c r="A439" s="95" t="inlineStr">
        <is>
          <t>P126</t>
        </is>
      </c>
      <c r="B439" s="96" t="inlineStr">
        <is>
          <t>P126</t>
        </is>
      </c>
      <c r="C439" s="95" t="inlineStr">
        <is>
          <t>PARKING</t>
        </is>
      </c>
      <c r="D439" s="96" t="inlineStr">
        <is>
          <t>Cochera Plus</t>
        </is>
      </c>
      <c r="E439" s="97" t="n">
        <v>12.5</v>
      </c>
      <c r="F439" s="95" t="inlineStr">
        <is>
          <t>2.5m x 5.0m</t>
        </is>
      </c>
      <c r="G439" s="98">
        <f>5000</f>
        <v/>
      </c>
      <c r="H439" s="95" t="n">
        <v>50</v>
      </c>
      <c r="I439" s="95" t="n">
        <v>0</v>
      </c>
      <c r="J439" s="99" t="inlineStr">
        <is>
          <t>Disponible</t>
        </is>
      </c>
    </row>
    <row r="440" ht="20" customHeight="1">
      <c r="A440" s="90" t="inlineStr">
        <is>
          <t>P127</t>
        </is>
      </c>
      <c r="B440" s="91" t="inlineStr">
        <is>
          <t>P127</t>
        </is>
      </c>
      <c r="C440" s="90" t="inlineStr">
        <is>
          <t>PARKING</t>
        </is>
      </c>
      <c r="D440" s="91" t="inlineStr">
        <is>
          <t>Cochera Plus</t>
        </is>
      </c>
      <c r="E440" s="92" t="n">
        <v>12.5</v>
      </c>
      <c r="F440" s="90" t="inlineStr">
        <is>
          <t>2.5m x 5.0m</t>
        </is>
      </c>
      <c r="G440" s="93">
        <f>5000</f>
        <v/>
      </c>
      <c r="H440" s="90" t="n">
        <v>50</v>
      </c>
      <c r="I440" s="90" t="n">
        <v>0</v>
      </c>
      <c r="J440" s="99" t="inlineStr">
        <is>
          <t>Disponible</t>
        </is>
      </c>
    </row>
    <row r="441" ht="20" customHeight="1">
      <c r="A441" s="95" t="inlineStr">
        <is>
          <t>P128</t>
        </is>
      </c>
      <c r="B441" s="96" t="inlineStr">
        <is>
          <t>P128</t>
        </is>
      </c>
      <c r="C441" s="95" t="inlineStr">
        <is>
          <t>PARKING</t>
        </is>
      </c>
      <c r="D441" s="96" t="inlineStr">
        <is>
          <t>Cochera Plus</t>
        </is>
      </c>
      <c r="E441" s="97" t="n">
        <v>12.5</v>
      </c>
      <c r="F441" s="95" t="inlineStr">
        <is>
          <t>2.5m x 5.0m</t>
        </is>
      </c>
      <c r="G441" s="98">
        <f>5000</f>
        <v/>
      </c>
      <c r="H441" s="95" t="n">
        <v>50</v>
      </c>
      <c r="I441" s="95" t="n">
        <v>0</v>
      </c>
      <c r="J441" s="99" t="inlineStr">
        <is>
          <t>Disponible</t>
        </is>
      </c>
    </row>
    <row r="442" ht="20" customHeight="1">
      <c r="A442" s="90" t="inlineStr">
        <is>
          <t>P129</t>
        </is>
      </c>
      <c r="B442" s="91" t="inlineStr">
        <is>
          <t>P129</t>
        </is>
      </c>
      <c r="C442" s="90" t="inlineStr">
        <is>
          <t>PARKING</t>
        </is>
      </c>
      <c r="D442" s="91" t="inlineStr">
        <is>
          <t>Cochera Plus</t>
        </is>
      </c>
      <c r="E442" s="92" t="n">
        <v>12.5</v>
      </c>
      <c r="F442" s="90" t="inlineStr">
        <is>
          <t>2.5m x 5.0m</t>
        </is>
      </c>
      <c r="G442" s="93">
        <f>5000</f>
        <v/>
      </c>
      <c r="H442" s="90" t="n">
        <v>50</v>
      </c>
      <c r="I442" s="90" t="n">
        <v>0</v>
      </c>
      <c r="J442" s="99" t="inlineStr">
        <is>
          <t>Disponible</t>
        </is>
      </c>
    </row>
    <row r="443" ht="20" customHeight="1">
      <c r="A443" s="95" t="inlineStr">
        <is>
          <t>P130</t>
        </is>
      </c>
      <c r="B443" s="96" t="inlineStr">
        <is>
          <t>P130</t>
        </is>
      </c>
      <c r="C443" s="95" t="inlineStr">
        <is>
          <t>PARKING</t>
        </is>
      </c>
      <c r="D443" s="96" t="inlineStr">
        <is>
          <t>Cochera Plus</t>
        </is>
      </c>
      <c r="E443" s="97" t="n">
        <v>12.5</v>
      </c>
      <c r="F443" s="95" t="inlineStr">
        <is>
          <t>2.5m x 5.0m</t>
        </is>
      </c>
      <c r="G443" s="98">
        <f>5000</f>
        <v/>
      </c>
      <c r="H443" s="95" t="n">
        <v>50</v>
      </c>
      <c r="I443" s="95" t="n">
        <v>0</v>
      </c>
      <c r="J443" s="99" t="inlineStr">
        <is>
          <t>Disponible</t>
        </is>
      </c>
    </row>
    <row r="444" ht="20" customHeight="1">
      <c r="A444" s="90" t="inlineStr">
        <is>
          <t>P131</t>
        </is>
      </c>
      <c r="B444" s="91" t="inlineStr">
        <is>
          <t>P131</t>
        </is>
      </c>
      <c r="C444" s="90" t="inlineStr">
        <is>
          <t>PARKING</t>
        </is>
      </c>
      <c r="D444" s="91" t="inlineStr">
        <is>
          <t>Cochera Plus</t>
        </is>
      </c>
      <c r="E444" s="92" t="n">
        <v>12.5</v>
      </c>
      <c r="F444" s="90" t="inlineStr">
        <is>
          <t>2.5m x 5.0m</t>
        </is>
      </c>
      <c r="G444" s="93">
        <f>5000</f>
        <v/>
      </c>
      <c r="H444" s="90" t="n">
        <v>50</v>
      </c>
      <c r="I444" s="90" t="n">
        <v>0</v>
      </c>
      <c r="J444" s="99" t="inlineStr">
        <is>
          <t>Disponible</t>
        </is>
      </c>
    </row>
    <row r="445" ht="20" customHeight="1">
      <c r="A445" s="95" t="inlineStr">
        <is>
          <t>P132</t>
        </is>
      </c>
      <c r="B445" s="96" t="inlineStr">
        <is>
          <t>P132</t>
        </is>
      </c>
      <c r="C445" s="95" t="inlineStr">
        <is>
          <t>PARKING</t>
        </is>
      </c>
      <c r="D445" s="96" t="inlineStr">
        <is>
          <t>Cochera Plus</t>
        </is>
      </c>
      <c r="E445" s="97" t="n">
        <v>12.5</v>
      </c>
      <c r="F445" s="95" t="inlineStr">
        <is>
          <t>2.5m x 5.0m</t>
        </is>
      </c>
      <c r="G445" s="98">
        <f>5000</f>
        <v/>
      </c>
      <c r="H445" s="95" t="n">
        <v>50</v>
      </c>
      <c r="I445" s="95" t="n">
        <v>0</v>
      </c>
      <c r="J445" s="99" t="inlineStr">
        <is>
          <t>Disponible</t>
        </is>
      </c>
    </row>
    <row r="446" ht="20" customHeight="1">
      <c r="A446" s="90" t="inlineStr">
        <is>
          <t>P133</t>
        </is>
      </c>
      <c r="B446" s="91" t="inlineStr">
        <is>
          <t>P133</t>
        </is>
      </c>
      <c r="C446" s="90" t="inlineStr">
        <is>
          <t>PARKING</t>
        </is>
      </c>
      <c r="D446" s="91" t="inlineStr">
        <is>
          <t>Cochera Plus</t>
        </is>
      </c>
      <c r="E446" s="92" t="n">
        <v>12.5</v>
      </c>
      <c r="F446" s="90" t="inlineStr">
        <is>
          <t>2.5m x 5.0m</t>
        </is>
      </c>
      <c r="G446" s="93">
        <f>5000</f>
        <v/>
      </c>
      <c r="H446" s="90" t="n">
        <v>50</v>
      </c>
      <c r="I446" s="90" t="n">
        <v>0</v>
      </c>
      <c r="J446" s="99" t="inlineStr">
        <is>
          <t>Disponible</t>
        </is>
      </c>
    </row>
    <row r="447" ht="20" customHeight="1">
      <c r="A447" s="95" t="inlineStr">
        <is>
          <t>P134</t>
        </is>
      </c>
      <c r="B447" s="96" t="inlineStr">
        <is>
          <t>P134</t>
        </is>
      </c>
      <c r="C447" s="95" t="inlineStr">
        <is>
          <t>PARKING</t>
        </is>
      </c>
      <c r="D447" s="96" t="inlineStr">
        <is>
          <t>Cochera Plus</t>
        </is>
      </c>
      <c r="E447" s="97" t="n">
        <v>12.5</v>
      </c>
      <c r="F447" s="95" t="inlineStr">
        <is>
          <t>2.5m x 5.0m</t>
        </is>
      </c>
      <c r="G447" s="98">
        <f>5000</f>
        <v/>
      </c>
      <c r="H447" s="95" t="n">
        <v>50</v>
      </c>
      <c r="I447" s="95" t="n">
        <v>0</v>
      </c>
      <c r="J447" s="99" t="inlineStr">
        <is>
          <t>Disponible</t>
        </is>
      </c>
    </row>
    <row r="448" ht="20" customHeight="1">
      <c r="A448" s="90" t="inlineStr">
        <is>
          <t>P135</t>
        </is>
      </c>
      <c r="B448" s="91" t="inlineStr">
        <is>
          <t>P135</t>
        </is>
      </c>
      <c r="C448" s="90" t="inlineStr">
        <is>
          <t>PARKING</t>
        </is>
      </c>
      <c r="D448" s="91" t="inlineStr">
        <is>
          <t>Cochera Plus</t>
        </is>
      </c>
      <c r="E448" s="92" t="n">
        <v>12.5</v>
      </c>
      <c r="F448" s="90" t="inlineStr">
        <is>
          <t>2.5m x 5.0m</t>
        </is>
      </c>
      <c r="G448" s="93">
        <f>5000</f>
        <v/>
      </c>
      <c r="H448" s="90" t="n">
        <v>50</v>
      </c>
      <c r="I448" s="90" t="n">
        <v>0</v>
      </c>
      <c r="J448" s="99" t="inlineStr">
        <is>
          <t>Disponible</t>
        </is>
      </c>
    </row>
    <row r="449" ht="20" customHeight="1">
      <c r="A449" s="95" t="inlineStr">
        <is>
          <t>P136</t>
        </is>
      </c>
      <c r="B449" s="96" t="inlineStr">
        <is>
          <t>P136</t>
        </is>
      </c>
      <c r="C449" s="95" t="inlineStr">
        <is>
          <t>PARKING</t>
        </is>
      </c>
      <c r="D449" s="96" t="inlineStr">
        <is>
          <t>Cochera Plus</t>
        </is>
      </c>
      <c r="E449" s="97" t="n">
        <v>12.5</v>
      </c>
      <c r="F449" s="95" t="inlineStr">
        <is>
          <t>2.5m x 5.0m</t>
        </is>
      </c>
      <c r="G449" s="98">
        <f>5000</f>
        <v/>
      </c>
      <c r="H449" s="95" t="n">
        <v>50</v>
      </c>
      <c r="I449" s="95" t="n">
        <v>0</v>
      </c>
      <c r="J449" s="99" t="inlineStr">
        <is>
          <t>Disponible</t>
        </is>
      </c>
    </row>
    <row r="450" ht="20" customHeight="1">
      <c r="A450" s="90" t="inlineStr">
        <is>
          <t>P137</t>
        </is>
      </c>
      <c r="B450" s="91" t="inlineStr">
        <is>
          <t>P137</t>
        </is>
      </c>
      <c r="C450" s="90" t="inlineStr">
        <is>
          <t>PARKING</t>
        </is>
      </c>
      <c r="D450" s="91" t="inlineStr">
        <is>
          <t>Cochera Plus</t>
        </is>
      </c>
      <c r="E450" s="92" t="n">
        <v>12.5</v>
      </c>
      <c r="F450" s="90" t="inlineStr">
        <is>
          <t>2.5m x 5.0m</t>
        </is>
      </c>
      <c r="G450" s="93">
        <f>5000</f>
        <v/>
      </c>
      <c r="H450" s="90" t="n">
        <v>50</v>
      </c>
      <c r="I450" s="90" t="n">
        <v>0</v>
      </c>
      <c r="J450" s="99" t="inlineStr">
        <is>
          <t>Disponible</t>
        </is>
      </c>
    </row>
    <row r="451" ht="20" customHeight="1">
      <c r="A451" s="95" t="inlineStr">
        <is>
          <t>P138</t>
        </is>
      </c>
      <c r="B451" s="96" t="inlineStr">
        <is>
          <t>P138</t>
        </is>
      </c>
      <c r="C451" s="95" t="inlineStr">
        <is>
          <t>PARKING</t>
        </is>
      </c>
      <c r="D451" s="96" t="inlineStr">
        <is>
          <t>Cochera Plus</t>
        </is>
      </c>
      <c r="E451" s="97" t="n">
        <v>12.5</v>
      </c>
      <c r="F451" s="95" t="inlineStr">
        <is>
          <t>2.5m x 5.0m</t>
        </is>
      </c>
      <c r="G451" s="98">
        <f>5000</f>
        <v/>
      </c>
      <c r="H451" s="95" t="n">
        <v>50</v>
      </c>
      <c r="I451" s="95" t="n">
        <v>0</v>
      </c>
      <c r="J451" s="99" t="inlineStr">
        <is>
          <t>Disponible</t>
        </is>
      </c>
    </row>
    <row r="452" ht="20" customHeight="1">
      <c r="A452" s="86" t="inlineStr">
        <is>
          <t>TOTAL GENERAL</t>
        </is>
      </c>
      <c r="B452" s="86" t="n"/>
      <c r="C452" s="86" t="n"/>
      <c r="D452" s="86" t="n"/>
      <c r="E452" s="71">
        <f>SUM(E2:E451)</f>
        <v/>
      </c>
      <c r="F452" s="86" t="n"/>
      <c r="G452" s="82">
        <f>SUM(G2:G451)</f>
        <v/>
      </c>
      <c r="H452" s="86" t="n"/>
      <c r="I452" s="86" t="n"/>
      <c r="J452" s="86" t="n"/>
    </row>
    <row r="453" ht="20" customHeight="1"/>
    <row r="454" ht="20" customHeight="1"/>
    <row r="455" ht="20" customHeight="1"/>
    <row r="456" ht="20" customHeight="1"/>
    <row r="457" ht="20" customHeight="1"/>
    <row r="458" ht="20" customHeight="1"/>
    <row r="459" ht="20" customHeight="1"/>
    <row r="460" ht="20" customHeight="1"/>
    <row r="461" ht="20" customHeight="1"/>
    <row r="462" ht="20" customHeight="1"/>
    <row r="463" ht="20" customHeight="1"/>
    <row r="464" ht="20" customHeight="1"/>
    <row r="465" ht="20" customHeight="1"/>
    <row r="466" ht="20" customHeight="1"/>
    <row r="467" ht="20" customHeight="1"/>
    <row r="468" ht="20" customHeight="1"/>
    <row r="469" ht="20" customHeight="1"/>
    <row r="470" ht="20" customHeight="1"/>
    <row r="471" ht="20" customHeight="1"/>
    <row r="472" ht="20" customHeight="1"/>
    <row r="473" ht="20" customHeight="1"/>
    <row r="474" ht="20" customHeight="1"/>
    <row r="475" ht="20" customHeight="1"/>
    <row r="476" ht="20" customHeight="1"/>
    <row r="477" ht="20" customHeight="1"/>
    <row r="478" ht="20" customHeight="1"/>
    <row r="479" ht="20" customHeight="1"/>
    <row r="480" ht="22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1" customWidth="1" min="2" max="2"/>
    <col width="49" customWidth="1" min="3" max="3"/>
    <col width="187" customWidth="1" min="4" max="4"/>
  </cols>
  <sheetData>
    <row r="2">
      <c r="B2" s="60" t="inlineStr">
        <is>
          <t>PARÁMETROS TÉCNICOS Y NORMAS CONSTRUCTIVAS</t>
        </is>
      </c>
    </row>
    <row r="3">
      <c r="B3" s="61" t="inlineStr">
        <is>
          <t>Asociación Civil de Adjudicatarios Moon Paracas · Normativa Técnica</t>
        </is>
      </c>
    </row>
    <row r="5">
      <c r="B5" s="62" t="inlineStr">
        <is>
          <t>1. PARÁMETROS GEOTÉCNICOS Y CIMENTACIONES</t>
        </is>
      </c>
    </row>
    <row r="6" ht="22" customHeight="1">
      <c r="B6" s="63" t="inlineStr">
        <is>
          <t>Parámetro Técnico</t>
        </is>
      </c>
      <c r="C6" s="63" t="inlineStr">
        <is>
          <t>Norma / Exigencia</t>
        </is>
      </c>
      <c r="D6" s="63" t="inlineStr">
        <is>
          <t>Sustentación de Ingeniería</t>
        </is>
      </c>
    </row>
    <row r="7" ht="24" customHeight="1">
      <c r="B7" s="102" t="inlineStr">
        <is>
          <t>Clasificación Sísmica</t>
        </is>
      </c>
      <c r="C7" s="64" t="inlineStr">
        <is>
          <t>Zona Sísmica 4 (S1)</t>
        </is>
      </c>
      <c r="D7" s="64" t="inlineStr">
        <is>
          <t>Terreno de alta sismicidad según RNE E.030. Exige plateas de cimentación rígidas obligatorias para disipar esfuerzos sísmicos y evitar asentamientos diferenciales sobre arena.</t>
        </is>
      </c>
    </row>
    <row r="8" ht="24" customHeight="1">
      <c r="B8" s="103" t="inlineStr">
        <is>
          <t>Resistencia de Cemento</t>
        </is>
      </c>
      <c r="C8" s="67" t="inlineStr">
        <is>
          <t>Cemento Portland Tipo V</t>
        </is>
      </c>
      <c r="D8" s="67" t="inlineStr">
        <is>
          <t>Presencia de sales y sulfatos en el suelo árido costero. El Cemento Tipo V garantiza inmunidad frente al ataque químico del salitre, asegurando una vida útil &gt; 50 años.</t>
        </is>
      </c>
    </row>
    <row r="9" ht="24" customHeight="1">
      <c r="B9" s="102" t="inlineStr">
        <is>
          <t>Resistencia del Concreto</t>
        </is>
      </c>
      <c r="C9" s="64" t="inlineStr">
        <is>
          <t>f'c &gt;= 210 kg/cm²</t>
        </is>
      </c>
      <c r="D9" s="64" t="inlineStr">
        <is>
          <t>Mínimo especificado para todos los elementos estructurales y plateas de cimentación.</t>
        </is>
      </c>
    </row>
    <row r="10" ht="24" customHeight="1">
      <c r="B10" s="103" t="inlineStr">
        <is>
          <t>Cota Topográfica Mínima</t>
        </is>
      </c>
      <c r="C10" s="67" t="inlineStr">
        <is>
          <t>106.50 m s.n.m. (Ingreso)</t>
        </is>
      </c>
      <c r="D10" s="67" t="inlineStr">
        <is>
          <t>El emplazamiento en la meseta del tablazo elimina al 100% el riesgo sísmico por tsunami o subidas de marea.</t>
        </is>
      </c>
    </row>
    <row r="11" ht="24" customHeight="1">
      <c r="B11" s="102" t="inlineStr">
        <is>
          <t>Cota Topográfica Máxima</t>
        </is>
      </c>
      <c r="C11" s="64" t="inlineStr">
        <is>
          <t>113.50 m s.n.m. (Mirador)</t>
        </is>
      </c>
      <c r="D11" s="64" t="inlineStr">
        <is>
          <t>Gradiente topográfica suave de sur a norte (0.5% a 1%) que optimiza la evacuación de aguas de escorrentía pluvial.</t>
        </is>
      </c>
    </row>
    <row r="12" ht="24" customHeight="1">
      <c r="B12" s="104" t="inlineStr">
        <is>
          <t>Diseño de Vías Internas</t>
        </is>
      </c>
      <c r="C12" s="5" t="inlineStr">
        <is>
          <t>Ancho de 6.00 metros</t>
        </is>
      </c>
      <c r="D12" s="5" t="inlineStr">
        <is>
          <t>Vías de tierra compactada estabilizada con emulsiones orgánicas para cero polvo. Restringidas exclusivamente a peatones, bicicletas y buggies eléctricos.</t>
        </is>
      </c>
    </row>
    <row r="13">
      <c r="B13" s="63" t="n"/>
      <c r="C13" s="63" t="n"/>
      <c r="D13" s="63" t="n"/>
    </row>
    <row r="14">
      <c r="B14" s="103" t="n"/>
      <c r="C14" s="105" t="n"/>
      <c r="D14" s="105" t="n"/>
    </row>
    <row r="15">
      <c r="B15" s="102" t="inlineStr">
        <is>
          <t>2. REGLAMENTO INTERNO DE CONSTRUCCIÓN Y ESTILO (ANEXO B)</t>
        </is>
      </c>
      <c r="C15" s="106" t="n"/>
      <c r="D15" s="106" t="n"/>
    </row>
    <row r="16" ht="22" customHeight="1">
      <c r="B16" s="103" t="inlineStr">
        <is>
          <t>Elemento de Fachada</t>
        </is>
      </c>
      <c r="C16" s="107" t="inlineStr">
        <is>
          <t>Exigencia Estética</t>
        </is>
      </c>
      <c r="D16" s="107" t="inlineStr">
        <is>
          <t>Materiales Autorizados / Restricciones</t>
        </is>
      </c>
    </row>
    <row r="17" ht="24" customHeight="1">
      <c r="B17" s="104" t="inlineStr">
        <is>
          <t>Muros y Fachadas</t>
        </is>
      </c>
      <c r="C17" s="5" t="inlineStr">
        <is>
          <t>Tonos terrosos y arena (Mimetismo desértico)</t>
        </is>
      </c>
      <c r="D17" s="5" t="inlineStr">
        <is>
          <t>Acabados en revoque rústico de barro texturizado, microcemento arena, u ocre. Se prohíben colores primarios brillantes o revestimientos metálicos industriales.</t>
        </is>
      </c>
    </row>
    <row r="18" ht="24" customHeight="1">
      <c r="B18" s="63" t="inlineStr">
        <is>
          <t>Pircas de División</t>
        </is>
      </c>
      <c r="C18" s="63" t="inlineStr">
        <is>
          <t>Piedra de cantera local apilada a mano</t>
        </is>
      </c>
      <c r="D18" s="63" t="inlineStr">
        <is>
          <t>Muros bajos (máximo 1.20m de altura) para deslindar linderos, usando piedra caliza caliche dorada de Paracas. Prohibido cercos de alambre de púas o ladrillo expuesto sin tarrajeo.</t>
        </is>
      </c>
    </row>
    <row r="19" ht="24" customHeight="1">
      <c r="B19" s="102" t="inlineStr">
        <is>
          <t>Pérgolas y Sombras</t>
        </is>
      </c>
      <c r="C19" s="64" t="inlineStr">
        <is>
          <t>Pórticos rústicos de madera noble</t>
        </is>
      </c>
      <c r="D19" s="64" t="inlineStr">
        <is>
          <t>Uso obligatorio de troncos o listones macizos de eucalipto seco tratado, caña brava o bambú chancado para terrazas y cocheras.</t>
        </is>
      </c>
    </row>
    <row r="20" ht="24" customHeight="1">
      <c r="B20" s="103" t="inlineStr">
        <is>
          <t>Energía Autónoma</t>
        </is>
      </c>
      <c r="C20" s="67" t="inlineStr">
        <is>
          <t>Sistemas solares fotovoltaicos independientes</t>
        </is>
      </c>
      <c r="D20" s="67" t="inlineStr">
        <is>
          <t>Obligatoriedad de destinar un área en el techo plano para un mínimo de 4 paneles solares monocristalinos y baterías de litio. No se permite tendido eléctrico aéreo visible.</t>
        </is>
      </c>
    </row>
    <row r="21" ht="24" customHeight="1">
      <c r="B21" s="102" t="inlineStr">
        <is>
          <t>Xeripaisajismo</t>
        </is>
      </c>
      <c r="C21" s="64" t="inlineStr">
        <is>
          <t>Uso de flora nativa de bajo consumo hídrico</t>
        </is>
      </c>
      <c r="D21" s="64" t="inlineStr">
        <is>
          <t>Vegetación obligatoria en linderos delanteros: Agaves americanos, cactus candelabro, huarangos y buganvilias. Prohibido el sembrado de césped americano que exija riego por inundación.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3" customWidth="1" min="2" max="2"/>
    <col width="507" customWidth="1" min="3" max="3"/>
    <col width="11" customWidth="1" min="4" max="4"/>
    <col width="22" customWidth="1" min="5" max="5"/>
    <col width="24" customWidth="1" min="6" max="6"/>
    <col width="20" customWidth="1" min="7" max="7"/>
    <col width="55" customWidth="1" min="8" max="8"/>
  </cols>
  <sheetData>
    <row r="2" ht="25" customHeight="1">
      <c r="B2" s="60" t="inlineStr">
        <is>
          <t>PRESUPUESTO DE INVERSIÓN EN OBRAS (CAPEX)</t>
        </is>
      </c>
    </row>
    <row r="3">
      <c r="B3" s="61" t="inlineStr">
        <is>
          <t xml:space="preserve"> Moon Paracas · Estimación técnica de infraestructura rústica de lujo</t>
        </is>
      </c>
    </row>
    <row r="5">
      <c r="B5" s="62" t="inlineStr">
        <is>
          <t>1. DETALLE DE PARTIDAS Y COSTOS DIRECTOS</t>
        </is>
      </c>
    </row>
    <row r="6" ht="22" customHeight="1">
      <c r="B6" s="63" t="inlineStr">
        <is>
          <t>Item</t>
        </is>
      </c>
      <c r="C6" s="63" t="inlineStr">
        <is>
          <t>Descripción de Partida</t>
        </is>
      </c>
      <c r="D6" s="63" t="inlineStr">
        <is>
          <t>Unidad</t>
        </is>
      </c>
      <c r="E6" s="63" t="inlineStr">
        <is>
          <t>Metrado / Cantidad</t>
        </is>
      </c>
      <c r="F6" s="63" t="inlineStr">
        <is>
          <t>Precio Unitario (S/)</t>
        </is>
      </c>
      <c r="G6" s="63" t="inlineStr">
        <is>
          <t>Costo Total (S/)</t>
        </is>
      </c>
      <c r="H6" s="63" t="inlineStr">
        <is>
          <t>Materiales y Acabados Predominantes</t>
        </is>
      </c>
    </row>
    <row r="7" ht="20" customHeight="1">
      <c r="B7" s="108" t="inlineStr">
        <is>
          <t>01.00</t>
        </is>
      </c>
      <c r="C7" s="109" t="inlineStr">
        <is>
          <t>TRABAJOS PRELIMINARES Y MOVIMIENTO DE TIERRAS</t>
        </is>
      </c>
      <c r="D7" s="108" t="inlineStr"/>
      <c r="E7" s="110" t="inlineStr"/>
      <c r="F7" s="111" t="inlineStr"/>
      <c r="G7" s="111" t="inlineStr"/>
      <c r="H7" s="109" t="inlineStr">
        <is>
          <t>Planificación e ingeniería base</t>
        </is>
      </c>
    </row>
    <row r="8" ht="20" customHeight="1">
      <c r="B8" s="75" t="inlineStr">
        <is>
          <t>01.01</t>
        </is>
      </c>
      <c r="C8" s="64" t="inlineStr">
        <is>
          <t>Delimitación topográfica, replanteo de tizas e hitos</t>
        </is>
      </c>
      <c r="D8" s="75" t="inlineStr">
        <is>
          <t>glb</t>
        </is>
      </c>
      <c r="E8" s="65" t="n">
        <v>1</v>
      </c>
      <c r="F8" s="112" t="n">
        <v>15000</v>
      </c>
      <c r="G8" s="113">
        <f>E8*F8</f>
        <v/>
      </c>
      <c r="H8" s="64" t="inlineStr">
        <is>
          <t>Estacas de madera y teodolito</t>
        </is>
      </c>
    </row>
    <row r="9" ht="20" customHeight="1">
      <c r="B9" s="78" t="inlineStr">
        <is>
          <t>01.02</t>
        </is>
      </c>
      <c r="C9" s="67" t="inlineStr">
        <is>
          <t>Movimiento de tierras, nivelación y compactado de vías</t>
        </is>
      </c>
      <c r="D9" s="78" t="inlineStr">
        <is>
          <t>m2</t>
        </is>
      </c>
      <c r="E9" s="68" t="n">
        <v>17137.84</v>
      </c>
      <c r="F9" s="114" t="n">
        <v>6.5</v>
      </c>
      <c r="G9" s="115">
        <f>E9*F9</f>
        <v/>
      </c>
      <c r="H9" s="67" t="inlineStr">
        <is>
          <t>Uso de motoniveladora y rodillo en arena</t>
        </is>
      </c>
    </row>
    <row r="10" ht="20" customHeight="1">
      <c r="B10" s="108" t="inlineStr">
        <is>
          <t>02.00</t>
        </is>
      </c>
      <c r="C10" s="109" t="inlineStr">
        <is>
          <t>INGRESO MONUMENTAL Y PÓRTICO DE ACCESO</t>
        </is>
      </c>
      <c r="D10" s="108" t="inlineStr"/>
      <c r="E10" s="110" t="inlineStr"/>
      <c r="F10" s="111" t="inlineStr"/>
      <c r="G10" s="111" t="inlineStr"/>
      <c r="H10" s="109" t="inlineStr">
        <is>
          <t>Acceso rústico e identidad visual</t>
        </is>
      </c>
    </row>
    <row r="11" ht="20" customHeight="1">
      <c r="B11" s="78" t="inlineStr">
        <is>
          <t>02.01</t>
        </is>
      </c>
      <c r="C11" s="67" t="inlineStr">
        <is>
          <t>Pórtico monumental de troncos de eucalipto seco tratado</t>
        </is>
      </c>
      <c r="D11" s="78" t="inlineStr">
        <is>
          <t>glb</t>
        </is>
      </c>
      <c r="E11" s="68" t="n">
        <v>1</v>
      </c>
      <c r="F11" s="114" t="n">
        <v>45000</v>
      </c>
      <c r="G11" s="115">
        <f>E11*F11</f>
        <v/>
      </c>
      <c r="H11" s="67" t="inlineStr">
        <is>
          <t>Vigas y columnas de eucalipto seco de 8"-10"</t>
        </is>
      </c>
    </row>
    <row r="12" ht="20" customHeight="1">
      <c r="B12" s="75" t="inlineStr">
        <is>
          <t>02.02</t>
        </is>
      </c>
      <c r="C12" s="64" t="inlineStr">
        <is>
          <t>Muros de pirca decorativa de piedra de cantera en pórtico</t>
        </is>
      </c>
      <c r="D12" s="75" t="inlineStr">
        <is>
          <t>m2</t>
        </is>
      </c>
      <c r="E12" s="65" t="n">
        <v>120</v>
      </c>
      <c r="F12" s="112" t="n">
        <v>250</v>
      </c>
      <c r="G12" s="113">
        <f>E12*F12</f>
        <v/>
      </c>
      <c r="H12" s="64" t="inlineStr">
        <is>
          <t>Piedra caliza caliche dorada de Ica apilada</t>
        </is>
      </c>
    </row>
    <row r="13" ht="20" customHeight="1">
      <c r="B13" s="78" t="inlineStr">
        <is>
          <t>02.03</t>
        </is>
      </c>
      <c r="C13" s="67" t="inlineStr">
        <is>
          <t>Caseta de vigilancia blindada y control de accesos</t>
        </is>
      </c>
      <c r="D13" s="78" t="inlineStr">
        <is>
          <t>und</t>
        </is>
      </c>
      <c r="E13" s="68" t="n">
        <v>1</v>
      </c>
      <c r="F13" s="114" t="n">
        <v>60000</v>
      </c>
      <c r="G13" s="115">
        <f>E13*F13</f>
        <v/>
      </c>
      <c r="H13" s="67" t="inlineStr">
        <is>
          <t>Estructura de concreto armado con cemento Tipo V</t>
        </is>
      </c>
    </row>
    <row r="14" ht="20" customHeight="1">
      <c r="B14" s="75" t="inlineStr">
        <is>
          <t>02.04</t>
        </is>
      </c>
      <c r="C14" s="64" t="inlineStr">
        <is>
          <t>Portón rústico de madera shihuahuaco tratada para intemperie</t>
        </is>
      </c>
      <c r="D14" s="75" t="inlineStr">
        <is>
          <t>und</t>
        </is>
      </c>
      <c r="E14" s="65" t="n">
        <v>1</v>
      </c>
      <c r="F14" s="112" t="n">
        <v>15000</v>
      </c>
      <c r="G14" s="113">
        <f>E14*F14</f>
        <v/>
      </c>
      <c r="H14" s="64" t="inlineStr">
        <is>
          <t>Madera noble y herrajes de hierro forjado</t>
        </is>
      </c>
    </row>
    <row r="15" ht="20" customHeight="1">
      <c r="B15" s="108" t="inlineStr">
        <is>
          <t>03.00</t>
        </is>
      </c>
      <c r="C15" s="109" t="inlineStr">
        <is>
          <t>CERCOS PERIMETRALES (PIRCAS DE SEGURIDAD)</t>
        </is>
      </c>
      <c r="D15" s="108" t="inlineStr"/>
      <c r="E15" s="110" t="inlineStr"/>
      <c r="F15" s="111" t="inlineStr"/>
      <c r="G15" s="111" t="inlineStr"/>
      <c r="H15" s="109" t="inlineStr">
        <is>
          <t>Protección perimetral integrada al paisaje</t>
        </is>
      </c>
    </row>
    <row r="16" ht="20" customHeight="1">
      <c r="B16" s="75" t="inlineStr">
        <is>
          <t>03.01</t>
        </is>
      </c>
      <c r="C16" s="64" t="inlineStr">
        <is>
          <t>Cerco frontal de pirca de piedra natural (h=1.80m)</t>
        </is>
      </c>
      <c r="D16" s="75" t="inlineStr">
        <is>
          <t>m</t>
        </is>
      </c>
      <c r="E16" s="65" t="n">
        <v>450</v>
      </c>
      <c r="F16" s="112" t="n">
        <v>450</v>
      </c>
      <c r="G16" s="113">
        <f>E16*F16</f>
        <v/>
      </c>
      <c r="H16" s="64" t="inlineStr">
        <is>
          <t>Piedra caliza dorada de la región apilada a mano</t>
        </is>
      </c>
    </row>
    <row r="17" ht="20" customHeight="1">
      <c r="B17" s="78" t="inlineStr">
        <is>
          <t>03.02</t>
        </is>
      </c>
      <c r="C17" s="67" t="inlineStr">
        <is>
          <t>Cerco de seguridad perimetral lateral y posterior ligero</t>
        </is>
      </c>
      <c r="D17" s="78" t="inlineStr">
        <is>
          <t>m</t>
        </is>
      </c>
      <c r="E17" s="68" t="n">
        <v>1200</v>
      </c>
      <c r="F17" s="114" t="n">
        <v>110</v>
      </c>
      <c r="G17" s="115">
        <f>E17*F17</f>
        <v/>
      </c>
      <c r="H17" s="67" t="inlineStr">
        <is>
          <t>Postes de eucalipto de 4" con alambre de púas</t>
        </is>
      </c>
    </row>
    <row r="18" ht="20" customHeight="1">
      <c r="B18" s="108" t="inlineStr">
        <is>
          <t>04.00</t>
        </is>
      </c>
      <c r="C18" s="109" t="inlineStr">
        <is>
          <t>VÍAS INTERNAS Y CIRCULACIÓN (LIVING STREETS)</t>
        </is>
      </c>
      <c r="D18" s="108" t="inlineStr"/>
      <c r="E18" s="110" t="inlineStr"/>
      <c r="F18" s="111" t="inlineStr"/>
      <c r="G18" s="111" t="inlineStr"/>
      <c r="H18" s="109" t="inlineStr">
        <is>
          <t>Tránsito interno eco-eficiente</t>
        </is>
      </c>
    </row>
    <row r="19" ht="20" customHeight="1">
      <c r="B19" s="78" t="inlineStr">
        <is>
          <t>04.01</t>
        </is>
      </c>
      <c r="C19" s="67" t="inlineStr">
        <is>
          <t>Afirmado y estabilización de vías con mezcla de arcilla y cal</t>
        </is>
      </c>
      <c r="D19" s="78" t="inlineStr">
        <is>
          <t>m2</t>
        </is>
      </c>
      <c r="E19" s="68" t="n">
        <v>17137.84</v>
      </c>
      <c r="F19" s="114" t="n">
        <v>25</v>
      </c>
      <c r="G19" s="115">
        <f>E19*F19</f>
        <v/>
      </c>
      <c r="H19" s="67" t="inlineStr">
        <is>
          <t>Arcilla desértica compactada, libre de asfalto</t>
        </is>
      </c>
    </row>
    <row r="20" ht="20" customHeight="1">
      <c r="B20" s="75" t="inlineStr">
        <is>
          <t>04.02</t>
        </is>
      </c>
      <c r="C20" s="64" t="inlineStr">
        <is>
          <t>Senderos peatonales ecológicos y alameda central</t>
        </is>
      </c>
      <c r="D20" s="75" t="inlineStr">
        <is>
          <t>m2</t>
        </is>
      </c>
      <c r="E20" s="65" t="n">
        <v>3500</v>
      </c>
      <c r="F20" s="112" t="n">
        <v>18</v>
      </c>
      <c r="G20" s="113">
        <f>E20*F20</f>
        <v/>
      </c>
      <c r="H20" s="64" t="inlineStr">
        <is>
          <t>Arcilla fina compactada y bordes de piedra</t>
        </is>
      </c>
    </row>
    <row r="21" ht="20" customHeight="1">
      <c r="B21" s="108" t="inlineStr">
        <is>
          <t>05.00</t>
        </is>
      </c>
      <c r="C21" s="109" t="inlineStr">
        <is>
          <t>CLUB OASIS Y ÁREAS RECREATIVAS COMUNES</t>
        </is>
      </c>
      <c r="D21" s="108" t="inlineStr"/>
      <c r="E21" s="110" t="inlineStr"/>
      <c r="F21" s="111" t="inlineStr"/>
      <c r="G21" s="111" t="inlineStr"/>
      <c r="H21" s="109" t="inlineStr">
        <is>
          <t>Corazón social y recreativo del condominio</t>
        </is>
      </c>
    </row>
    <row r="22" ht="20" customHeight="1">
      <c r="B22" s="75" t="inlineStr">
        <is>
          <t>05.01</t>
        </is>
      </c>
      <c r="C22" s="64" t="inlineStr">
        <is>
          <t>Piscina Oasis central revestida con piedra de río</t>
        </is>
      </c>
      <c r="D22" s="75" t="inlineStr">
        <is>
          <t>m2</t>
        </is>
      </c>
      <c r="E22" s="65" t="n">
        <v>395</v>
      </c>
      <c r="F22" s="112" t="n">
        <v>1200</v>
      </c>
      <c r="G22" s="113">
        <f>E22*F22</f>
        <v/>
      </c>
      <c r="H22" s="64" t="inlineStr">
        <is>
          <t>Revestimiento de piedra natural, filtros de cuarzo</t>
        </is>
      </c>
    </row>
    <row r="23" ht="20" customHeight="1">
      <c r="B23" s="78" t="inlineStr">
        <is>
          <t>05.02</t>
        </is>
      </c>
      <c r="C23" s="67" t="inlineStr">
        <is>
          <t>Espejo de agua ornamental para relajación</t>
        </is>
      </c>
      <c r="D23" s="78" t="inlineStr">
        <is>
          <t>m2</t>
        </is>
      </c>
      <c r="E23" s="68" t="n">
        <v>252</v>
      </c>
      <c r="F23" s="114" t="n">
        <v>650</v>
      </c>
      <c r="G23" s="115">
        <f>E23*F23</f>
        <v/>
      </c>
      <c r="H23" s="67" t="inlineStr">
        <is>
          <t>Lecho de piedra pulida y recirculación biológica</t>
        </is>
      </c>
    </row>
    <row r="24" ht="20" customHeight="1">
      <c r="B24" s="75" t="inlineStr">
        <is>
          <t>05.03</t>
        </is>
      </c>
      <c r="C24" s="64" t="inlineStr">
        <is>
          <t>Decks de madera shihuahuaco tratada en zonas de descanso</t>
        </is>
      </c>
      <c r="D24" s="75" t="inlineStr">
        <is>
          <t>m2</t>
        </is>
      </c>
      <c r="E24" s="65" t="n">
        <v>220</v>
      </c>
      <c r="F24" s="112" t="n">
        <v>380</v>
      </c>
      <c r="G24" s="113">
        <f>E24*F24</f>
        <v/>
      </c>
      <c r="H24" s="64" t="inlineStr">
        <is>
          <t>Madera machihembrada tratada contra intemperie</t>
        </is>
      </c>
    </row>
    <row r="25" ht="20" customHeight="1">
      <c r="B25" s="78" t="inlineStr">
        <is>
          <t>05.04</t>
        </is>
      </c>
      <c r="C25" s="67" t="inlineStr">
        <is>
          <t>Fogón central (Fire Pit) integrado en piedra natural</t>
        </is>
      </c>
      <c r="D25" s="78" t="inlineStr">
        <is>
          <t>und</t>
        </is>
      </c>
      <c r="E25" s="68" t="n">
        <v>1</v>
      </c>
      <c r="F25" s="114" t="n">
        <v>25000</v>
      </c>
      <c r="G25" s="115">
        <f>E25*F25</f>
        <v/>
      </c>
      <c r="H25" s="67" t="inlineStr">
        <is>
          <t>Anillo de piedra con asientos integrados y gas</t>
        </is>
      </c>
    </row>
    <row r="26" ht="20" customHeight="1">
      <c r="B26" s="75" t="inlineStr">
        <is>
          <t>05.05</t>
        </is>
      </c>
      <c r="C26" s="64" t="inlineStr">
        <is>
          <t>Xeripaisajismo y dunas ornamentales (cactus y agaves)</t>
        </is>
      </c>
      <c r="D26" s="75" t="inlineStr">
        <is>
          <t>glb</t>
        </is>
      </c>
      <c r="E26" s="65" t="n">
        <v>1</v>
      </c>
      <c r="F26" s="112" t="n">
        <v>50000</v>
      </c>
      <c r="G26" s="113">
        <f>E26*F26</f>
        <v/>
      </c>
      <c r="H26" s="64" t="inlineStr">
        <is>
          <t>Agave americano, cactus candelabro y bougainvilleas</t>
        </is>
      </c>
    </row>
    <row r="27" ht="20" customHeight="1">
      <c r="B27" s="108" t="inlineStr">
        <is>
          <t>06.00</t>
        </is>
      </c>
      <c r="C27" s="109" t="inlineStr">
        <is>
          <t>INSTALACIONES SANITARIAS Y AGUA CONDOMINIAL</t>
        </is>
      </c>
      <c r="D27" s="108" t="inlineStr"/>
      <c r="E27" s="110" t="inlineStr"/>
      <c r="F27" s="111" t="inlineStr"/>
      <c r="G27" s="111" t="inlineStr"/>
      <c r="H27" s="109" t="inlineStr">
        <is>
          <t>Saneamiento ecológico e hídrico</t>
        </is>
      </c>
    </row>
    <row r="28" ht="20" customHeight="1">
      <c r="B28" s="75" t="inlineStr">
        <is>
          <t>06.01</t>
        </is>
      </c>
      <c r="C28" s="64" t="inlineStr">
        <is>
          <t>Red de distribución de agua condominial a lotes</t>
        </is>
      </c>
      <c r="D28" s="75" t="inlineStr">
        <is>
          <t>m</t>
        </is>
      </c>
      <c r="E28" s="65" t="n">
        <v>2850</v>
      </c>
      <c r="F28" s="112" t="n">
        <v>85</v>
      </c>
      <c r="G28" s="113">
        <f>E28*F28</f>
        <v/>
      </c>
      <c r="H28" s="64" t="inlineStr">
        <is>
          <t>Tuberías de HDPE enterradas en zanja de arena</t>
        </is>
      </c>
    </row>
    <row r="29" ht="20" customHeight="1">
      <c r="B29" s="78" t="inlineStr">
        <is>
          <t>06.02</t>
        </is>
      </c>
      <c r="C29" s="67" t="inlineStr">
        <is>
          <t>Cisterna central de almacenamiento de agua de 50m3</t>
        </is>
      </c>
      <c r="D29" s="78" t="inlineStr">
        <is>
          <t>und</t>
        </is>
      </c>
      <c r="E29" s="68" t="n">
        <v>1</v>
      </c>
      <c r="F29" s="114" t="n">
        <v>120000</v>
      </c>
      <c r="G29" s="115">
        <f>E29*F29</f>
        <v/>
      </c>
      <c r="H29" s="67" t="inlineStr">
        <is>
          <t>Concreto armado Tipo V (protección de sulfatos)</t>
        </is>
      </c>
    </row>
    <row r="30" ht="20" customHeight="1">
      <c r="B30" s="75" t="inlineStr">
        <is>
          <t>06.03</t>
        </is>
      </c>
      <c r="C30" s="64" t="inlineStr">
        <is>
          <t>Planta de Tratamiento de Aguas Residuales PTAR biológica</t>
        </is>
      </c>
      <c r="D30" s="75" t="inlineStr">
        <is>
          <t>und</t>
        </is>
      </c>
      <c r="E30" s="65" t="n">
        <v>1</v>
      </c>
      <c r="F30" s="112" t="n">
        <v>125000</v>
      </c>
      <c r="G30" s="113">
        <f>E30*F30</f>
        <v/>
      </c>
      <c r="H30" s="64" t="inlineStr">
        <is>
          <t>Sistema de lodos activos para reúso en riego</t>
        </is>
      </c>
    </row>
    <row r="31" ht="20" customHeight="1">
      <c r="B31" s="108" t="inlineStr">
        <is>
          <t>07.00</t>
        </is>
      </c>
      <c r="C31" s="109" t="inlineStr">
        <is>
          <t>RED ELÉCTRICA ECO-SOLAR E ILUMINACIÓN COMÚN</t>
        </is>
      </c>
      <c r="D31" s="108" t="inlineStr"/>
      <c r="E31" s="110" t="inlineStr"/>
      <c r="F31" s="111" t="inlineStr"/>
      <c r="G31" s="111" t="inlineStr"/>
      <c r="H31" s="109" t="inlineStr">
        <is>
          <t>Iluminación limpia y carga limpia</t>
        </is>
      </c>
    </row>
    <row r="32" ht="20" customHeight="1">
      <c r="B32" s="75" t="inlineStr">
        <is>
          <t>07.01</t>
        </is>
      </c>
      <c r="C32" s="64" t="inlineStr">
        <is>
          <t>Postes de iluminación vial autónomos con panel solar led</t>
        </is>
      </c>
      <c r="D32" s="75" t="inlineStr">
        <is>
          <t>und</t>
        </is>
      </c>
      <c r="E32" s="65" t="n">
        <v>95</v>
      </c>
      <c r="F32" s="112" t="n">
        <v>3500</v>
      </c>
      <c r="G32" s="113">
        <f>E32*F32</f>
        <v/>
      </c>
      <c r="H32" s="64" t="inlineStr">
        <is>
          <t>Postes de acero con luminaria led solar 60W</t>
        </is>
      </c>
    </row>
    <row r="33" ht="20" customHeight="1">
      <c r="B33" s="78" t="inlineStr">
        <is>
          <t>07.02</t>
        </is>
      </c>
      <c r="C33" s="67" t="inlineStr">
        <is>
          <t>Pérgola fotovoltaica central y banco de baterías (Carga Buggy)</t>
        </is>
      </c>
      <c r="D33" s="78" t="inlineStr">
        <is>
          <t>glb</t>
        </is>
      </c>
      <c r="E33" s="68" t="n">
        <v>1</v>
      </c>
      <c r="F33" s="114" t="n">
        <v>120000</v>
      </c>
      <c r="G33" s="115">
        <f>E33*F33</f>
        <v/>
      </c>
      <c r="H33" s="67" t="inlineStr">
        <is>
          <t>Paneles solares monocristalinos y baterías de litio</t>
        </is>
      </c>
    </row>
    <row r="34" ht="22" customHeight="1">
      <c r="B34" s="116" t="n"/>
      <c r="C34" s="117" t="inlineStr">
        <is>
          <t>COSTO DIRECTO TOTAL DE OBRAS (CD)</t>
        </is>
      </c>
      <c r="D34" s="116" t="n"/>
      <c r="E34" s="116" t="n"/>
      <c r="F34" s="116" t="n"/>
      <c r="G34" s="118">
        <f>SUM(G7:G33)</f>
        <v/>
      </c>
      <c r="H34" s="116" t="n"/>
    </row>
    <row r="35" ht="20" customHeight="1">
      <c r="B35" s="116" t="n"/>
      <c r="C35" s="117" t="inlineStr">
        <is>
          <t>Gastos Generales y Dirección Técnica (10%)</t>
        </is>
      </c>
      <c r="D35" s="116" t="n"/>
      <c r="E35" s="116" t="n"/>
      <c r="F35" s="116" t="n"/>
      <c r="G35" s="118">
        <f>G34*0.1</f>
        <v/>
      </c>
      <c r="H35" s="116" t="n"/>
    </row>
    <row r="36" ht="20" customHeight="1">
      <c r="B36" s="116" t="n"/>
      <c r="C36" s="117" t="inlineStr">
        <is>
          <t>Utilidad del Contratista e Imprevistos (8%)</t>
        </is>
      </c>
      <c r="D36" s="116" t="n"/>
      <c r="E36" s="116" t="n"/>
      <c r="F36" s="116" t="n"/>
      <c r="G36" s="118">
        <f>G34*0.08</f>
        <v/>
      </c>
      <c r="H36" s="116" t="n"/>
    </row>
    <row r="37" ht="24" customHeight="1">
      <c r="B37" s="81" t="n"/>
      <c r="C37" s="70" t="inlineStr">
        <is>
          <t>PRESUPUESTO TOTAL INVERSIÓN (CAPEX TOTAL)</t>
        </is>
      </c>
      <c r="D37" s="81" t="n"/>
      <c r="E37" s="81" t="n"/>
      <c r="F37" s="81" t="n"/>
      <c r="G37" s="119">
        <f>G34+G35+G36</f>
        <v/>
      </c>
      <c r="H37" s="81" t="n"/>
    </row>
    <row r="39">
      <c r="B39" s="51" t="inlineStr">
        <is>
          <t>Nota Técnica de Materiales:</t>
        </is>
      </c>
      <c r="C39" s="52" t="inlineStr">
        <is>
          <t>El presupuesto de obra civil se ha estimado con base en materiales rústicos de bajo mantenimiento y alta durabilidad para el desierto:
- Piedra de Cantera local (pircas y muros de la caseta/pórtico), brindando estabilidad sísmica y aislamiento térmico natural.
- Eucalipto seco tratado en troncos de 8"-10" y madera Shihuahuaco tratada para el pórtico, pérgolas, portón y decks.
- Afirmado estabilizado en vías internas (cero asfalto) y postes led solares autónomos para un condominio de cero emisiones.</t>
        </is>
      </c>
    </row>
    <row r="40"/>
    <row r="41"/>
  </sheetData>
  <mergeCells count="1">
    <mergeCell ref="C39:H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S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4" customWidth="1" min="2" max="2"/>
    <col width="16" customWidth="1" min="3" max="3"/>
    <col width="17" customWidth="1" min="4" max="4"/>
    <col width="16" customWidth="1" min="5" max="5"/>
    <col width="16" customWidth="1" min="6" max="6"/>
    <col width="16" customWidth="1" min="7" max="7"/>
    <col width="18" customWidth="1" min="8" max="8"/>
    <col width="23" customWidth="1" min="9" max="9"/>
    <col width="23" customWidth="1" min="10" max="10"/>
    <col width="19" customWidth="1" min="11" max="11"/>
    <col width="18" customWidth="1" min="12" max="12"/>
    <col width="16" customWidth="1" min="13" max="13"/>
    <col width="16" customWidth="1" min="14" max="14"/>
    <col width="19" customWidth="1" min="15" max="15"/>
    <col width="19" customWidth="1" min="16" max="16"/>
    <col width="17" customWidth="1" min="17" max="17"/>
    <col width="16" customWidth="1" min="18" max="18"/>
    <col width="19" customWidth="1" min="19" max="19"/>
  </cols>
  <sheetData>
    <row r="2" ht="25" customHeight="1">
      <c r="B2" s="60" t="inlineStr">
        <is>
          <t>PROYECCIÓN DE FLUJO DE CAJA (HORIZONTE 24 MESES)</t>
        </is>
      </c>
    </row>
    <row r="3">
      <c r="B3" s="61" t="inlineStr">
        <is>
          <t xml:space="preserve"> Moon Paracas · Modelo de cobranza y pagos de obra por caja positiva</t>
        </is>
      </c>
    </row>
    <row r="5">
      <c r="B5" s="62" t="inlineStr">
        <is>
          <t>1. CRONOGRAMA DE VENTAS Y CRÉDITO DIRECTO (ENTRADAS Y SALIDAS DE CAJA)</t>
        </is>
      </c>
    </row>
    <row r="6" ht="24" customHeight="1">
      <c r="B6" s="120" t="inlineStr">
        <is>
          <t>Mes</t>
        </is>
      </c>
      <c r="C6" s="120" t="inlineStr">
        <is>
          <t>Lotes Vend.</t>
        </is>
      </c>
      <c r="D6" s="120" t="inlineStr">
        <is>
          <t>P. Prom. Lote</t>
        </is>
      </c>
      <c r="E6" s="120" t="inlineStr">
        <is>
          <t>Ventas Lotes</t>
        </is>
      </c>
      <c r="F6" s="120" t="inlineStr">
        <is>
          <t>Coch. Vend.</t>
        </is>
      </c>
      <c r="G6" s="120" t="inlineStr">
        <is>
          <t>Ventas Coch.</t>
        </is>
      </c>
      <c r="H6" s="120" t="inlineStr">
        <is>
          <t>Ventas Totales</t>
        </is>
      </c>
      <c r="I6" s="120" t="inlineStr">
        <is>
          <t>Inicial Lotes (30%)</t>
        </is>
      </c>
      <c r="J6" s="120" t="inlineStr">
        <is>
          <t>Cobro Financ. (70%)</t>
        </is>
      </c>
      <c r="K6" s="120" t="inlineStr">
        <is>
          <t>Cocheras (100%)</t>
        </is>
      </c>
      <c r="L6" s="120" t="inlineStr">
        <is>
          <t>Total Ingresos</t>
        </is>
      </c>
      <c r="M6" s="120" t="inlineStr">
        <is>
          <t>CAPEX Obras</t>
        </is>
      </c>
      <c r="N6" s="120" t="inlineStr">
        <is>
          <t>Pago Terreno</t>
        </is>
      </c>
      <c r="O6" s="120" t="inlineStr">
        <is>
          <t>Comisiones (4%)</t>
        </is>
      </c>
      <c r="P6" s="120" t="inlineStr">
        <is>
          <t>Gtos. Admin/Leg</t>
        </is>
      </c>
      <c r="Q6" s="120" t="inlineStr">
        <is>
          <t>Total Egresos</t>
        </is>
      </c>
      <c r="R6" s="120" t="inlineStr">
        <is>
          <t>Flujo Neto</t>
        </is>
      </c>
      <c r="S6" s="120" t="inlineStr">
        <is>
          <t>Flujo Acumulado</t>
        </is>
      </c>
    </row>
    <row r="7" ht="20" customHeight="1">
      <c r="B7" s="121" t="inlineStr">
        <is>
          <t>Mes 0</t>
        </is>
      </c>
      <c r="C7" s="122" t="n">
        <v>0</v>
      </c>
      <c r="D7" s="83" t="n">
        <v>0</v>
      </c>
      <c r="E7" s="83">
        <f>C7*D7</f>
        <v/>
      </c>
      <c r="F7" s="122" t="n">
        <v>0</v>
      </c>
      <c r="G7" s="83">
        <f>F7*5000</f>
        <v/>
      </c>
      <c r="H7" s="79">
        <f>E7+G7</f>
        <v/>
      </c>
      <c r="I7" s="83">
        <f>E7*0.3</f>
        <v/>
      </c>
      <c r="J7" s="83" t="n">
        <v>0</v>
      </c>
      <c r="K7" s="83">
        <f>G7</f>
        <v/>
      </c>
      <c r="L7" s="79">
        <f>I7+J7+K7</f>
        <v/>
      </c>
      <c r="M7" s="83" t="n">
        <v>50000</v>
      </c>
      <c r="N7" s="83" t="n">
        <v>0</v>
      </c>
      <c r="O7" s="83">
        <f>H7*0.04</f>
        <v/>
      </c>
      <c r="P7" s="83" t="n">
        <v>0</v>
      </c>
      <c r="Q7" s="79">
        <f>M7+N7+O7+P7</f>
        <v/>
      </c>
      <c r="R7" s="79">
        <f>L7-Q7</f>
        <v/>
      </c>
      <c r="S7" s="123">
        <f>R7</f>
        <v/>
      </c>
    </row>
    <row r="8" ht="20" customHeight="1">
      <c r="B8" s="55" t="inlineStr">
        <is>
          <t>Mes 1</t>
        </is>
      </c>
      <c r="C8" s="124" t="n">
        <v>13</v>
      </c>
      <c r="D8" s="125" t="n">
        <v>27445.15</v>
      </c>
      <c r="E8" s="125">
        <f>C8*D8</f>
        <v/>
      </c>
      <c r="F8" s="124" t="n">
        <v>6</v>
      </c>
      <c r="G8" s="125">
        <f>F8*5000</f>
        <v/>
      </c>
      <c r="H8" s="126">
        <f>E8+G8</f>
        <v/>
      </c>
      <c r="I8" s="125">
        <f>E8*0.3</f>
        <v/>
      </c>
      <c r="J8" s="125" t="n">
        <v>0</v>
      </c>
      <c r="K8" s="125">
        <f>G8</f>
        <v/>
      </c>
      <c r="L8" s="126">
        <f>I8+J8+K8</f>
        <v/>
      </c>
      <c r="M8" s="125" t="n">
        <v>150000</v>
      </c>
      <c r="N8" s="125" t="n">
        <v>37500</v>
      </c>
      <c r="O8" s="125">
        <f>H8*0.04</f>
        <v/>
      </c>
      <c r="P8" s="125" t="n">
        <v>15000</v>
      </c>
      <c r="Q8" s="126">
        <f>M8+N8+O8+P8</f>
        <v/>
      </c>
      <c r="R8" s="126">
        <f>L8-Q8</f>
        <v/>
      </c>
      <c r="S8" s="127">
        <f>S7+R8</f>
        <v/>
      </c>
    </row>
    <row r="9" ht="20" customHeight="1">
      <c r="B9" s="121" t="inlineStr">
        <is>
          <t>Mes 2</t>
        </is>
      </c>
      <c r="C9" s="122" t="n">
        <v>13</v>
      </c>
      <c r="D9" s="83" t="n">
        <v>28567.62</v>
      </c>
      <c r="E9" s="83">
        <f>C9*D9</f>
        <v/>
      </c>
      <c r="F9" s="122" t="n">
        <v>6</v>
      </c>
      <c r="G9" s="83">
        <f>F9*5000</f>
        <v/>
      </c>
      <c r="H9" s="79">
        <f>E9+G9</f>
        <v/>
      </c>
      <c r="I9" s="83">
        <f>E9*0.3</f>
        <v/>
      </c>
      <c r="J9" s="83">
        <f>SUM(E8:E8)*0.7/12</f>
        <v/>
      </c>
      <c r="K9" s="83">
        <f>G9</f>
        <v/>
      </c>
      <c r="L9" s="79">
        <f>I9+J9+K9</f>
        <v/>
      </c>
      <c r="M9" s="83" t="n">
        <v>150000</v>
      </c>
      <c r="N9" s="83" t="n">
        <v>37500</v>
      </c>
      <c r="O9" s="83">
        <f>H9*0.04</f>
        <v/>
      </c>
      <c r="P9" s="83" t="n">
        <v>15000</v>
      </c>
      <c r="Q9" s="79">
        <f>M9+N9+O9+P9</f>
        <v/>
      </c>
      <c r="R9" s="79">
        <f>L9-Q9</f>
        <v/>
      </c>
      <c r="S9" s="123">
        <f>S8+R9</f>
        <v/>
      </c>
    </row>
    <row r="10" ht="20" customHeight="1">
      <c r="B10" s="55" t="inlineStr">
        <is>
          <t>Mes 3</t>
        </is>
      </c>
      <c r="C10" s="124" t="n">
        <v>13</v>
      </c>
      <c r="D10" s="125" t="n">
        <v>18942</v>
      </c>
      <c r="E10" s="125">
        <f>C10*D10</f>
        <v/>
      </c>
      <c r="F10" s="124" t="n">
        <v>6</v>
      </c>
      <c r="G10" s="125">
        <f>F10*5000</f>
        <v/>
      </c>
      <c r="H10" s="126">
        <f>E10+G10</f>
        <v/>
      </c>
      <c r="I10" s="125">
        <f>E10*0.3</f>
        <v/>
      </c>
      <c r="J10" s="125">
        <f>SUM(E8:E9)*0.7/12</f>
        <v/>
      </c>
      <c r="K10" s="125">
        <f>G10</f>
        <v/>
      </c>
      <c r="L10" s="126">
        <f>I10+J10+K10</f>
        <v/>
      </c>
      <c r="M10" s="125" t="n">
        <v>150000</v>
      </c>
      <c r="N10" s="125" t="n">
        <v>37500</v>
      </c>
      <c r="O10" s="125">
        <f>H10*0.04</f>
        <v/>
      </c>
      <c r="P10" s="125" t="n">
        <v>15000</v>
      </c>
      <c r="Q10" s="126">
        <f>M10+N10+O10+P10</f>
        <v/>
      </c>
      <c r="R10" s="126">
        <f>L10-Q10</f>
        <v/>
      </c>
      <c r="S10" s="127">
        <f>S9+R10</f>
        <v/>
      </c>
    </row>
    <row r="11" ht="20" customHeight="1">
      <c r="B11" s="121" t="inlineStr">
        <is>
          <t>Mes 4</t>
        </is>
      </c>
      <c r="C11" s="122" t="n">
        <v>16</v>
      </c>
      <c r="D11" s="83" t="n">
        <v>18544.75</v>
      </c>
      <c r="E11" s="83">
        <f>C11*D11</f>
        <v/>
      </c>
      <c r="F11" s="122" t="n">
        <v>6</v>
      </c>
      <c r="G11" s="83">
        <f>F11*5000</f>
        <v/>
      </c>
      <c r="H11" s="79">
        <f>E11+G11</f>
        <v/>
      </c>
      <c r="I11" s="83">
        <f>E11*0.3</f>
        <v/>
      </c>
      <c r="J11" s="83">
        <f>SUM(E8:E10)*0.7/12</f>
        <v/>
      </c>
      <c r="K11" s="83">
        <f>G11</f>
        <v/>
      </c>
      <c r="L11" s="79">
        <f>I11+J11+K11</f>
        <v/>
      </c>
      <c r="M11" s="83" t="n">
        <v>150000</v>
      </c>
      <c r="N11" s="83" t="n">
        <v>37500</v>
      </c>
      <c r="O11" s="83">
        <f>H11*0.04</f>
        <v/>
      </c>
      <c r="P11" s="83" t="n">
        <v>15000</v>
      </c>
      <c r="Q11" s="79">
        <f>M11+N11+O11+P11</f>
        <v/>
      </c>
      <c r="R11" s="79">
        <f>L11-Q11</f>
        <v/>
      </c>
      <c r="S11" s="123">
        <f>S10+R11</f>
        <v/>
      </c>
    </row>
    <row r="12" ht="20" customHeight="1">
      <c r="B12" s="55" t="inlineStr">
        <is>
          <t>Mes 5</t>
        </is>
      </c>
      <c r="C12" s="124" t="n">
        <v>16</v>
      </c>
      <c r="D12" s="125" t="n">
        <v>12014.31</v>
      </c>
      <c r="E12" s="125">
        <f>C12*D12</f>
        <v/>
      </c>
      <c r="F12" s="124" t="n">
        <v>6</v>
      </c>
      <c r="G12" s="125">
        <f>F12*5000</f>
        <v/>
      </c>
      <c r="H12" s="126">
        <f>E12+G12</f>
        <v/>
      </c>
      <c r="I12" s="125">
        <f>E12*0.3</f>
        <v/>
      </c>
      <c r="J12" s="125">
        <f>SUM(E8:E11)*0.7/12</f>
        <v/>
      </c>
      <c r="K12" s="125">
        <f>G12</f>
        <v/>
      </c>
      <c r="L12" s="126">
        <f>I12+J12+K12</f>
        <v/>
      </c>
      <c r="M12" s="125" t="n">
        <v>150000</v>
      </c>
      <c r="N12" s="125" t="n">
        <v>37500</v>
      </c>
      <c r="O12" s="125">
        <f>H12*0.04</f>
        <v/>
      </c>
      <c r="P12" s="125" t="n">
        <v>15000</v>
      </c>
      <c r="Q12" s="126">
        <f>M12+N12+O12+P12</f>
        <v/>
      </c>
      <c r="R12" s="126">
        <f>L12-Q12</f>
        <v/>
      </c>
      <c r="S12" s="127">
        <f>S11+R12</f>
        <v/>
      </c>
    </row>
    <row r="13" ht="20" customHeight="1">
      <c r="B13" s="121" t="inlineStr">
        <is>
          <t>Mes 6</t>
        </is>
      </c>
      <c r="C13" s="122" t="n">
        <v>16</v>
      </c>
      <c r="D13" s="83" t="n">
        <v>11832.38</v>
      </c>
      <c r="E13" s="83">
        <f>C13*D13</f>
        <v/>
      </c>
      <c r="F13" s="122" t="n">
        <v>6</v>
      </c>
      <c r="G13" s="83">
        <f>F13*5000</f>
        <v/>
      </c>
      <c r="H13" s="79">
        <f>E13+G13</f>
        <v/>
      </c>
      <c r="I13" s="83">
        <f>E13*0.3</f>
        <v/>
      </c>
      <c r="J13" s="83">
        <f>SUM(E8:E12)*0.7/12</f>
        <v/>
      </c>
      <c r="K13" s="83">
        <f>G13</f>
        <v/>
      </c>
      <c r="L13" s="79">
        <f>I13+J13+K13</f>
        <v/>
      </c>
      <c r="M13" s="83" t="n">
        <v>150000</v>
      </c>
      <c r="N13" s="83" t="n">
        <v>37500</v>
      </c>
      <c r="O13" s="83">
        <f>H13*0.04</f>
        <v/>
      </c>
      <c r="P13" s="83" t="n">
        <v>15000</v>
      </c>
      <c r="Q13" s="79">
        <f>M13+N13+O13+P13</f>
        <v/>
      </c>
      <c r="R13" s="79">
        <f>L13-Q13</f>
        <v/>
      </c>
      <c r="S13" s="123">
        <f>S12+R13</f>
        <v/>
      </c>
    </row>
    <row r="14" ht="20" customHeight="1">
      <c r="B14" s="55" t="inlineStr">
        <is>
          <t>Mes 7</t>
        </is>
      </c>
      <c r="C14" s="124" t="n">
        <v>16</v>
      </c>
      <c r="D14" s="125" t="n">
        <v>11716.12</v>
      </c>
      <c r="E14" s="125">
        <f>C14*D14</f>
        <v/>
      </c>
      <c r="F14" s="124" t="n">
        <v>6</v>
      </c>
      <c r="G14" s="125">
        <f>F14*5000</f>
        <v/>
      </c>
      <c r="H14" s="126">
        <f>E14+G14</f>
        <v/>
      </c>
      <c r="I14" s="125">
        <f>E14*0.3</f>
        <v/>
      </c>
      <c r="J14" s="125">
        <f>SUM(E8:E13)*0.7/12</f>
        <v/>
      </c>
      <c r="K14" s="125">
        <f>G14</f>
        <v/>
      </c>
      <c r="L14" s="126">
        <f>I14+J14+K14</f>
        <v/>
      </c>
      <c r="M14" s="125" t="n">
        <v>130000</v>
      </c>
      <c r="N14" s="125" t="n">
        <v>37500</v>
      </c>
      <c r="O14" s="125">
        <f>H14*0.04</f>
        <v/>
      </c>
      <c r="P14" s="125" t="n">
        <v>15000</v>
      </c>
      <c r="Q14" s="126">
        <f>M14+N14+O14+P14</f>
        <v/>
      </c>
      <c r="R14" s="126">
        <f>L14-Q14</f>
        <v/>
      </c>
      <c r="S14" s="127">
        <f>S13+R14</f>
        <v/>
      </c>
    </row>
    <row r="15" ht="20" customHeight="1">
      <c r="B15" s="121" t="inlineStr">
        <is>
          <t>Mes 8</t>
        </is>
      </c>
      <c r="C15" s="122" t="n">
        <v>16</v>
      </c>
      <c r="D15" s="83" t="n">
        <v>13842.62</v>
      </c>
      <c r="E15" s="83">
        <f>C15*D15</f>
        <v/>
      </c>
      <c r="F15" s="122" t="n">
        <v>6</v>
      </c>
      <c r="G15" s="83">
        <f>F15*5000</f>
        <v/>
      </c>
      <c r="H15" s="79">
        <f>E15+G15</f>
        <v/>
      </c>
      <c r="I15" s="83">
        <f>E15*0.3</f>
        <v/>
      </c>
      <c r="J15" s="83">
        <f>SUM(E8:E14)*0.7/12</f>
        <v/>
      </c>
      <c r="K15" s="83">
        <f>G15</f>
        <v/>
      </c>
      <c r="L15" s="79">
        <f>I15+J15+K15</f>
        <v/>
      </c>
      <c r="M15" s="83" t="n">
        <v>130000</v>
      </c>
      <c r="N15" s="83" t="n">
        <v>37500</v>
      </c>
      <c r="O15" s="83">
        <f>H15*0.04</f>
        <v/>
      </c>
      <c r="P15" s="83" t="n">
        <v>15000</v>
      </c>
      <c r="Q15" s="79">
        <f>M15+N15+O15+P15</f>
        <v/>
      </c>
      <c r="R15" s="79">
        <f>L15-Q15</f>
        <v/>
      </c>
      <c r="S15" s="123">
        <f>S14+R15</f>
        <v/>
      </c>
    </row>
    <row r="16" ht="20" customHeight="1">
      <c r="B16" s="55" t="inlineStr">
        <is>
          <t>Mes 9</t>
        </is>
      </c>
      <c r="C16" s="124" t="n">
        <v>16</v>
      </c>
      <c r="D16" s="125" t="n">
        <v>22939.31</v>
      </c>
      <c r="E16" s="125">
        <f>C16*D16</f>
        <v/>
      </c>
      <c r="F16" s="124" t="n">
        <v>6</v>
      </c>
      <c r="G16" s="125">
        <f>F16*5000</f>
        <v/>
      </c>
      <c r="H16" s="126">
        <f>E16+G16</f>
        <v/>
      </c>
      <c r="I16" s="125">
        <f>E16*0.3</f>
        <v/>
      </c>
      <c r="J16" s="125">
        <f>SUM(E8:E15)*0.7/12</f>
        <v/>
      </c>
      <c r="K16" s="125">
        <f>G16</f>
        <v/>
      </c>
      <c r="L16" s="126">
        <f>I16+J16+K16</f>
        <v/>
      </c>
      <c r="M16" s="125" t="n">
        <v>130000</v>
      </c>
      <c r="N16" s="125" t="n">
        <v>37500</v>
      </c>
      <c r="O16" s="125">
        <f>H16*0.04</f>
        <v/>
      </c>
      <c r="P16" s="125" t="n">
        <v>15000</v>
      </c>
      <c r="Q16" s="126">
        <f>M16+N16+O16+P16</f>
        <v/>
      </c>
      <c r="R16" s="126">
        <f>L16-Q16</f>
        <v/>
      </c>
      <c r="S16" s="127">
        <f>S15+R16</f>
        <v/>
      </c>
    </row>
    <row r="17" ht="20" customHeight="1">
      <c r="B17" s="121" t="inlineStr">
        <is>
          <t>Mes 10</t>
        </is>
      </c>
      <c r="C17" s="122" t="n">
        <v>16</v>
      </c>
      <c r="D17" s="83" t="n">
        <v>40012.5</v>
      </c>
      <c r="E17" s="83">
        <f>C17*D17</f>
        <v/>
      </c>
      <c r="F17" s="122" t="n">
        <v>6</v>
      </c>
      <c r="G17" s="83">
        <f>F17*5000</f>
        <v/>
      </c>
      <c r="H17" s="79">
        <f>E17+G17</f>
        <v/>
      </c>
      <c r="I17" s="83">
        <f>E17*0.3</f>
        <v/>
      </c>
      <c r="J17" s="83">
        <f>SUM(E8:E16)*0.7/12</f>
        <v/>
      </c>
      <c r="K17" s="83">
        <f>G17</f>
        <v/>
      </c>
      <c r="L17" s="79">
        <f>I17+J17+K17</f>
        <v/>
      </c>
      <c r="M17" s="83" t="n">
        <v>130000</v>
      </c>
      <c r="N17" s="83" t="n">
        <v>37500</v>
      </c>
      <c r="O17" s="83">
        <f>H17*0.04</f>
        <v/>
      </c>
      <c r="P17" s="83" t="n">
        <v>15000</v>
      </c>
      <c r="Q17" s="79">
        <f>M17+N17+O17+P17</f>
        <v/>
      </c>
      <c r="R17" s="79">
        <f>L17-Q17</f>
        <v/>
      </c>
      <c r="S17" s="123">
        <f>S16+R17</f>
        <v/>
      </c>
    </row>
    <row r="18" ht="20" customHeight="1">
      <c r="B18" s="55" t="inlineStr">
        <is>
          <t>Mes 11</t>
        </is>
      </c>
      <c r="C18" s="124" t="n">
        <v>16</v>
      </c>
      <c r="D18" s="125" t="n">
        <v>39849.19</v>
      </c>
      <c r="E18" s="125">
        <f>C18*D18</f>
        <v/>
      </c>
      <c r="F18" s="124" t="n">
        <v>6</v>
      </c>
      <c r="G18" s="125">
        <f>F18*5000</f>
        <v/>
      </c>
      <c r="H18" s="126">
        <f>E18+G18</f>
        <v/>
      </c>
      <c r="I18" s="125">
        <f>E18*0.3</f>
        <v/>
      </c>
      <c r="J18" s="125">
        <f>SUM(E8:E17)*0.7/12</f>
        <v/>
      </c>
      <c r="K18" s="125">
        <f>G18</f>
        <v/>
      </c>
      <c r="L18" s="126">
        <f>I18+J18+K18</f>
        <v/>
      </c>
      <c r="M18" s="125" t="n">
        <v>130000</v>
      </c>
      <c r="N18" s="125" t="n">
        <v>37500</v>
      </c>
      <c r="O18" s="125">
        <f>H18*0.04</f>
        <v/>
      </c>
      <c r="P18" s="125" t="n">
        <v>15000</v>
      </c>
      <c r="Q18" s="126">
        <f>M18+N18+O18+P18</f>
        <v/>
      </c>
      <c r="R18" s="126">
        <f>L18-Q18</f>
        <v/>
      </c>
      <c r="S18" s="127">
        <f>S17+R18</f>
        <v/>
      </c>
    </row>
    <row r="19" ht="20" customHeight="1">
      <c r="B19" s="121" t="inlineStr">
        <is>
          <t>Mes 12</t>
        </is>
      </c>
      <c r="C19" s="122" t="n">
        <v>16</v>
      </c>
      <c r="D19" s="83" t="n">
        <v>39078.06</v>
      </c>
      <c r="E19" s="83">
        <f>C19*D19</f>
        <v/>
      </c>
      <c r="F19" s="122" t="n">
        <v>6</v>
      </c>
      <c r="G19" s="83">
        <f>F19*5000</f>
        <v/>
      </c>
      <c r="H19" s="79">
        <f>E19+G19</f>
        <v/>
      </c>
      <c r="I19" s="83">
        <f>E19*0.3</f>
        <v/>
      </c>
      <c r="J19" s="83">
        <f>SUM(E8:E18)*0.7/12</f>
        <v/>
      </c>
      <c r="K19" s="83">
        <f>G19</f>
        <v/>
      </c>
      <c r="L19" s="79">
        <f>I19+J19+K19</f>
        <v/>
      </c>
      <c r="M19" s="83" t="n">
        <v>130000</v>
      </c>
      <c r="N19" s="83" t="n">
        <v>37500</v>
      </c>
      <c r="O19" s="83">
        <f>H19*0.04</f>
        <v/>
      </c>
      <c r="P19" s="83" t="n">
        <v>15000</v>
      </c>
      <c r="Q19" s="79">
        <f>M19+N19+O19+P19</f>
        <v/>
      </c>
      <c r="R19" s="79">
        <f>L19-Q19</f>
        <v/>
      </c>
      <c r="S19" s="123">
        <f>S18+R19</f>
        <v/>
      </c>
    </row>
    <row r="20" ht="20" customHeight="1">
      <c r="B20" s="55" t="inlineStr">
        <is>
          <t>Mes 13</t>
        </is>
      </c>
      <c r="C20" s="124" t="n">
        <v>16</v>
      </c>
      <c r="D20" s="125" t="n">
        <v>13934.81</v>
      </c>
      <c r="E20" s="125">
        <f>C20*D20</f>
        <v/>
      </c>
      <c r="F20" s="124" t="n">
        <v>6</v>
      </c>
      <c r="G20" s="125">
        <f>F20*5000</f>
        <v/>
      </c>
      <c r="H20" s="126">
        <f>E20+G20</f>
        <v/>
      </c>
      <c r="I20" s="125">
        <f>E20*0.3</f>
        <v/>
      </c>
      <c r="J20" s="125">
        <f>SUM(E8:E19)*0.7/12</f>
        <v/>
      </c>
      <c r="K20" s="125">
        <f>G20</f>
        <v/>
      </c>
      <c r="L20" s="126">
        <f>I20+J20+K20</f>
        <v/>
      </c>
      <c r="M20" s="125" t="n">
        <v>150000</v>
      </c>
      <c r="N20" s="125" t="n">
        <v>37500</v>
      </c>
      <c r="O20" s="125">
        <f>H20*0.04</f>
        <v/>
      </c>
      <c r="P20" s="125" t="n">
        <v>15000</v>
      </c>
      <c r="Q20" s="126">
        <f>M20+N20+O20+P20</f>
        <v/>
      </c>
      <c r="R20" s="126">
        <f>L20-Q20</f>
        <v/>
      </c>
      <c r="S20" s="127">
        <f>S19+R20</f>
        <v/>
      </c>
    </row>
    <row r="21" ht="20" customHeight="1">
      <c r="B21" s="121" t="inlineStr">
        <is>
          <t>Mes 14</t>
        </is>
      </c>
      <c r="C21" s="122" t="n">
        <v>16</v>
      </c>
      <c r="D21" s="83" t="n">
        <v>12975.31</v>
      </c>
      <c r="E21" s="83">
        <f>C21*D21</f>
        <v/>
      </c>
      <c r="F21" s="122" t="n">
        <v>6</v>
      </c>
      <c r="G21" s="83">
        <f>F21*5000</f>
        <v/>
      </c>
      <c r="H21" s="79">
        <f>E21+G21</f>
        <v/>
      </c>
      <c r="I21" s="83">
        <f>E21*0.3</f>
        <v/>
      </c>
      <c r="J21" s="83">
        <f>SUM(E9:E20)*0.7/12</f>
        <v/>
      </c>
      <c r="K21" s="83">
        <f>G21</f>
        <v/>
      </c>
      <c r="L21" s="79">
        <f>I21+J21+K21</f>
        <v/>
      </c>
      <c r="M21" s="83" t="n">
        <v>150000</v>
      </c>
      <c r="N21" s="83" t="n">
        <v>37500</v>
      </c>
      <c r="O21" s="83">
        <f>H21*0.04</f>
        <v/>
      </c>
      <c r="P21" s="83" t="n">
        <v>15000</v>
      </c>
      <c r="Q21" s="79">
        <f>M21+N21+O21+P21</f>
        <v/>
      </c>
      <c r="R21" s="79">
        <f>L21-Q21</f>
        <v/>
      </c>
      <c r="S21" s="123">
        <f>S20+R21</f>
        <v/>
      </c>
    </row>
    <row r="22" ht="20" customHeight="1">
      <c r="B22" s="55" t="inlineStr">
        <is>
          <t>Mes 15</t>
        </is>
      </c>
      <c r="C22" s="124" t="n">
        <v>16</v>
      </c>
      <c r="D22" s="125" t="n">
        <v>12624.69</v>
      </c>
      <c r="E22" s="125">
        <f>C22*D22</f>
        <v/>
      </c>
      <c r="F22" s="124" t="n">
        <v>6</v>
      </c>
      <c r="G22" s="125">
        <f>F22*5000</f>
        <v/>
      </c>
      <c r="H22" s="126">
        <f>E22+G22</f>
        <v/>
      </c>
      <c r="I22" s="125">
        <f>E22*0.3</f>
        <v/>
      </c>
      <c r="J22" s="125">
        <f>SUM(E10:E21)*0.7/12</f>
        <v/>
      </c>
      <c r="K22" s="125">
        <f>G22</f>
        <v/>
      </c>
      <c r="L22" s="126">
        <f>I22+J22+K22</f>
        <v/>
      </c>
      <c r="M22" s="125" t="n">
        <v>150000</v>
      </c>
      <c r="N22" s="125" t="n">
        <v>37500</v>
      </c>
      <c r="O22" s="125">
        <f>H22*0.04</f>
        <v/>
      </c>
      <c r="P22" s="125" t="n">
        <v>15000</v>
      </c>
      <c r="Q22" s="126">
        <f>M22+N22+O22+P22</f>
        <v/>
      </c>
      <c r="R22" s="126">
        <f>L22-Q22</f>
        <v/>
      </c>
      <c r="S22" s="127">
        <f>S21+R22</f>
        <v/>
      </c>
    </row>
    <row r="23" ht="20" customHeight="1">
      <c r="B23" s="121" t="inlineStr">
        <is>
          <t>Mes 16</t>
        </is>
      </c>
      <c r="C23" s="122" t="n">
        <v>16</v>
      </c>
      <c r="D23" s="83" t="n">
        <v>11093.56</v>
      </c>
      <c r="E23" s="83">
        <f>C23*D23</f>
        <v/>
      </c>
      <c r="F23" s="122" t="n">
        <v>6</v>
      </c>
      <c r="G23" s="83">
        <f>F23*5000</f>
        <v/>
      </c>
      <c r="H23" s="79">
        <f>E23+G23</f>
        <v/>
      </c>
      <c r="I23" s="83">
        <f>E23*0.3</f>
        <v/>
      </c>
      <c r="J23" s="83">
        <f>SUM(E11:E22)*0.7/12</f>
        <v/>
      </c>
      <c r="K23" s="83">
        <f>G23</f>
        <v/>
      </c>
      <c r="L23" s="79">
        <f>I23+J23+K23</f>
        <v/>
      </c>
      <c r="M23" s="83" t="n">
        <v>150000</v>
      </c>
      <c r="N23" s="83" t="n">
        <v>37500</v>
      </c>
      <c r="O23" s="83">
        <f>H23*0.04</f>
        <v/>
      </c>
      <c r="P23" s="83" t="n">
        <v>15000</v>
      </c>
      <c r="Q23" s="79">
        <f>M23+N23+O23+P23</f>
        <v/>
      </c>
      <c r="R23" s="79">
        <f>L23-Q23</f>
        <v/>
      </c>
      <c r="S23" s="123">
        <f>S22+R23</f>
        <v/>
      </c>
    </row>
    <row r="24" ht="20" customHeight="1">
      <c r="B24" s="55" t="inlineStr">
        <is>
          <t>Mes 17</t>
        </is>
      </c>
      <c r="C24" s="124" t="n">
        <v>16</v>
      </c>
      <c r="D24" s="125" t="n">
        <v>14538.88</v>
      </c>
      <c r="E24" s="125">
        <f>C24*D24</f>
        <v/>
      </c>
      <c r="F24" s="124" t="n">
        <v>6</v>
      </c>
      <c r="G24" s="125">
        <f>F24*5000</f>
        <v/>
      </c>
      <c r="H24" s="126">
        <f>E24+G24</f>
        <v/>
      </c>
      <c r="I24" s="125">
        <f>E24*0.3</f>
        <v/>
      </c>
      <c r="J24" s="125">
        <f>SUM(E12:E23)*0.7/12</f>
        <v/>
      </c>
      <c r="K24" s="125">
        <f>G24</f>
        <v/>
      </c>
      <c r="L24" s="126">
        <f>I24+J24+K24</f>
        <v/>
      </c>
      <c r="M24" s="125" t="n">
        <v>150000</v>
      </c>
      <c r="N24" s="125" t="n">
        <v>37500</v>
      </c>
      <c r="O24" s="125">
        <f>H24*0.04</f>
        <v/>
      </c>
      <c r="P24" s="125" t="n">
        <v>15000</v>
      </c>
      <c r="Q24" s="126">
        <f>M24+N24+O24+P24</f>
        <v/>
      </c>
      <c r="R24" s="126">
        <f>L24-Q24</f>
        <v/>
      </c>
      <c r="S24" s="127">
        <f>S23+R24</f>
        <v/>
      </c>
    </row>
    <row r="25" ht="20" customHeight="1">
      <c r="B25" s="121" t="inlineStr">
        <is>
          <t>Mes 18</t>
        </is>
      </c>
      <c r="C25" s="122" t="n">
        <v>16</v>
      </c>
      <c r="D25" s="83" t="n">
        <v>19410.25</v>
      </c>
      <c r="E25" s="83">
        <f>C25*D25</f>
        <v/>
      </c>
      <c r="F25" s="122" t="n">
        <v>6</v>
      </c>
      <c r="G25" s="83">
        <f>F25*5000</f>
        <v/>
      </c>
      <c r="H25" s="79">
        <f>E25+G25</f>
        <v/>
      </c>
      <c r="I25" s="83">
        <f>E25*0.3</f>
        <v/>
      </c>
      <c r="J25" s="83">
        <f>SUM(E13:E24)*0.7/12</f>
        <v/>
      </c>
      <c r="K25" s="83">
        <f>G25</f>
        <v/>
      </c>
      <c r="L25" s="79">
        <f>I25+J25+K25</f>
        <v/>
      </c>
      <c r="M25" s="83" t="n">
        <v>150000</v>
      </c>
      <c r="N25" s="83" t="n">
        <v>37500</v>
      </c>
      <c r="O25" s="83">
        <f>H25*0.04</f>
        <v/>
      </c>
      <c r="P25" s="83" t="n">
        <v>15000</v>
      </c>
      <c r="Q25" s="79">
        <f>M25+N25+O25+P25</f>
        <v/>
      </c>
      <c r="R25" s="79">
        <f>L25-Q25</f>
        <v/>
      </c>
      <c r="S25" s="123">
        <f>S24+R25</f>
        <v/>
      </c>
    </row>
    <row r="26" ht="20" customHeight="1">
      <c r="B26" s="55" t="inlineStr">
        <is>
          <t>Mes 19</t>
        </is>
      </c>
      <c r="C26" s="124" t="n">
        <v>6</v>
      </c>
      <c r="D26" s="125" t="n">
        <v>20160</v>
      </c>
      <c r="E26" s="125">
        <f>C26*D26</f>
        <v/>
      </c>
      <c r="F26" s="124" t="n">
        <v>3</v>
      </c>
      <c r="G26" s="125">
        <f>F26*5000</f>
        <v/>
      </c>
      <c r="H26" s="126">
        <f>E26+G26</f>
        <v/>
      </c>
      <c r="I26" s="125">
        <f>E26*0.3</f>
        <v/>
      </c>
      <c r="J26" s="125">
        <f>SUM(E14:E25)*0.7/12</f>
        <v/>
      </c>
      <c r="K26" s="125">
        <f>G26</f>
        <v/>
      </c>
      <c r="L26" s="126">
        <f>I26+J26+K26</f>
        <v/>
      </c>
      <c r="M26" s="125" t="n">
        <v>95713.42</v>
      </c>
      <c r="N26" s="125" t="n">
        <v>37500</v>
      </c>
      <c r="O26" s="125">
        <f>H26*0.04</f>
        <v/>
      </c>
      <c r="P26" s="125" t="n">
        <v>15000</v>
      </c>
      <c r="Q26" s="126">
        <f>M26+N26+O26+P26</f>
        <v/>
      </c>
      <c r="R26" s="126">
        <f>L26-Q26</f>
        <v/>
      </c>
      <c r="S26" s="127">
        <f>S25+R26</f>
        <v/>
      </c>
    </row>
    <row r="27" ht="20" customHeight="1">
      <c r="B27" s="121" t="inlineStr">
        <is>
          <t>Mes 20</t>
        </is>
      </c>
      <c r="C27" s="122" t="n">
        <v>6</v>
      </c>
      <c r="D27" s="83" t="n">
        <v>26374.17</v>
      </c>
      <c r="E27" s="83">
        <f>C27*D27</f>
        <v/>
      </c>
      <c r="F27" s="122" t="n">
        <v>3</v>
      </c>
      <c r="G27" s="83">
        <f>F27*5000</f>
        <v/>
      </c>
      <c r="H27" s="79">
        <f>E27+G27</f>
        <v/>
      </c>
      <c r="I27" s="83">
        <f>E27*0.3</f>
        <v/>
      </c>
      <c r="J27" s="83">
        <f>SUM(E15:E26)*0.7/12</f>
        <v/>
      </c>
      <c r="K27" s="83">
        <f>G27</f>
        <v/>
      </c>
      <c r="L27" s="79">
        <f>I27+J27+K27</f>
        <v/>
      </c>
      <c r="M27" s="83" t="n">
        <v>95713.42</v>
      </c>
      <c r="N27" s="83" t="n">
        <v>37500</v>
      </c>
      <c r="O27" s="83">
        <f>H27*0.04</f>
        <v/>
      </c>
      <c r="P27" s="83" t="n">
        <v>15000</v>
      </c>
      <c r="Q27" s="79">
        <f>M27+N27+O27+P27</f>
        <v/>
      </c>
      <c r="R27" s="79">
        <f>L27-Q27</f>
        <v/>
      </c>
      <c r="S27" s="123">
        <f>S26+R27</f>
        <v/>
      </c>
    </row>
    <row r="28" ht="20" customHeight="1">
      <c r="B28" s="55" t="inlineStr">
        <is>
          <t>Mes 21</t>
        </is>
      </c>
      <c r="C28" s="124" t="n">
        <v>6</v>
      </c>
      <c r="D28" s="125" t="n">
        <v>27934.17</v>
      </c>
      <c r="E28" s="125">
        <f>C28*D28</f>
        <v/>
      </c>
      <c r="F28" s="124" t="n">
        <v>3</v>
      </c>
      <c r="G28" s="125">
        <f>F28*5000</f>
        <v/>
      </c>
      <c r="H28" s="126">
        <f>E28+G28</f>
        <v/>
      </c>
      <c r="I28" s="125">
        <f>E28*0.3</f>
        <v/>
      </c>
      <c r="J28" s="125">
        <f>SUM(E16:E27)*0.7/12</f>
        <v/>
      </c>
      <c r="K28" s="125">
        <f>G28</f>
        <v/>
      </c>
      <c r="L28" s="126">
        <f>I28+J28+K28</f>
        <v/>
      </c>
      <c r="M28" s="125" t="n">
        <v>95713.42</v>
      </c>
      <c r="N28" s="125" t="n">
        <v>37500</v>
      </c>
      <c r="O28" s="125">
        <f>H28*0.04</f>
        <v/>
      </c>
      <c r="P28" s="125" t="n">
        <v>15000</v>
      </c>
      <c r="Q28" s="126">
        <f>M28+N28+O28+P28</f>
        <v/>
      </c>
      <c r="R28" s="126">
        <f>L28-Q28</f>
        <v/>
      </c>
      <c r="S28" s="127">
        <f>S27+R28</f>
        <v/>
      </c>
    </row>
    <row r="29" ht="20" customHeight="1">
      <c r="B29" s="121" t="inlineStr">
        <is>
          <t>Mes 22</t>
        </is>
      </c>
      <c r="C29" s="122" t="n">
        <v>6</v>
      </c>
      <c r="D29" s="83" t="n">
        <v>28171.5</v>
      </c>
      <c r="E29" s="83">
        <f>C29*D29</f>
        <v/>
      </c>
      <c r="F29" s="122" t="n">
        <v>3</v>
      </c>
      <c r="G29" s="83">
        <f>F29*5000</f>
        <v/>
      </c>
      <c r="H29" s="79">
        <f>E29+G29</f>
        <v/>
      </c>
      <c r="I29" s="83">
        <f>E29*0.3</f>
        <v/>
      </c>
      <c r="J29" s="83">
        <f>SUM(E17:E28)*0.7/12</f>
        <v/>
      </c>
      <c r="K29" s="83">
        <f>G29</f>
        <v/>
      </c>
      <c r="L29" s="79">
        <f>I29+J29+K29</f>
        <v/>
      </c>
      <c r="M29" s="83" t="n">
        <v>95713.42</v>
      </c>
      <c r="N29" s="83" t="n">
        <v>37500</v>
      </c>
      <c r="O29" s="83">
        <f>H29*0.04</f>
        <v/>
      </c>
      <c r="P29" s="83" t="n">
        <v>15000</v>
      </c>
      <c r="Q29" s="79">
        <f>M29+N29+O29+P29</f>
        <v/>
      </c>
      <c r="R29" s="79">
        <f>L29-Q29</f>
        <v/>
      </c>
      <c r="S29" s="123">
        <f>S28+R29</f>
        <v/>
      </c>
    </row>
    <row r="30" ht="20" customHeight="1">
      <c r="B30" s="55" t="inlineStr">
        <is>
          <t>Mes 23</t>
        </is>
      </c>
      <c r="C30" s="124" t="n">
        <v>6</v>
      </c>
      <c r="D30" s="125" t="n">
        <v>29260.33</v>
      </c>
      <c r="E30" s="125">
        <f>C30*D30</f>
        <v/>
      </c>
      <c r="F30" s="124" t="n">
        <v>3</v>
      </c>
      <c r="G30" s="125">
        <f>F30*5000</f>
        <v/>
      </c>
      <c r="H30" s="126">
        <f>E30+G30</f>
        <v/>
      </c>
      <c r="I30" s="125">
        <f>E30*0.3</f>
        <v/>
      </c>
      <c r="J30" s="125">
        <f>SUM(E18:E29)*0.7/12</f>
        <v/>
      </c>
      <c r="K30" s="125">
        <f>G30</f>
        <v/>
      </c>
      <c r="L30" s="126">
        <f>I30+J30+K30</f>
        <v/>
      </c>
      <c r="M30" s="125" t="n">
        <v>95713.42</v>
      </c>
      <c r="N30" s="125" t="n">
        <v>37500</v>
      </c>
      <c r="O30" s="125">
        <f>H30*0.04</f>
        <v/>
      </c>
      <c r="P30" s="125" t="n">
        <v>15000</v>
      </c>
      <c r="Q30" s="126">
        <f>M30+N30+O30+P30</f>
        <v/>
      </c>
      <c r="R30" s="126">
        <f>L30-Q30</f>
        <v/>
      </c>
      <c r="S30" s="127">
        <f>S29+R30</f>
        <v/>
      </c>
    </row>
    <row r="31" ht="20" customHeight="1">
      <c r="B31" s="121" t="inlineStr">
        <is>
          <t>Mes 24</t>
        </is>
      </c>
      <c r="C31" s="122" t="n">
        <v>3</v>
      </c>
      <c r="D31" s="83" t="n">
        <v>29409.67</v>
      </c>
      <c r="E31" s="83">
        <f>C31*D31</f>
        <v/>
      </c>
      <c r="F31" s="122" t="n">
        <v>2</v>
      </c>
      <c r="G31" s="83">
        <f>F31*5000</f>
        <v/>
      </c>
      <c r="H31" s="79">
        <f>E31+G31</f>
        <v/>
      </c>
      <c r="I31" s="83">
        <f>E31*0.3</f>
        <v/>
      </c>
      <c r="J31" s="83">
        <f>SUM(E19:E30)*0.7/12</f>
        <v/>
      </c>
      <c r="K31" s="83">
        <f>G31</f>
        <v/>
      </c>
      <c r="L31" s="79">
        <f>I31+J31+K31</f>
        <v/>
      </c>
      <c r="M31" s="83" t="n">
        <v>95713.42</v>
      </c>
      <c r="N31" s="83" t="n">
        <v>37500</v>
      </c>
      <c r="O31" s="83">
        <f>H31*0.04</f>
        <v/>
      </c>
      <c r="P31" s="83" t="n">
        <v>15000</v>
      </c>
      <c r="Q31" s="79">
        <f>M31+N31+O31+P31</f>
        <v/>
      </c>
      <c r="R31" s="79">
        <f>L31-Q31</f>
        <v/>
      </c>
      <c r="S31" s="123">
        <f>S30+R31</f>
        <v/>
      </c>
    </row>
    <row r="32" ht="22" customHeight="1">
      <c r="B32" s="128" t="inlineStr">
        <is>
          <t>TOTALES</t>
        </is>
      </c>
      <c r="C32" s="129">
        <f>SUM(C7:C31)</f>
        <v/>
      </c>
      <c r="D32" s="82">
        <f>AVERAGE(D7:D31)</f>
        <v/>
      </c>
      <c r="E32" s="82">
        <f>SUM(E7:E31)</f>
        <v/>
      </c>
      <c r="F32" s="129">
        <f>SUM(F7:F31)</f>
        <v/>
      </c>
      <c r="G32" s="82">
        <f>SUM(G7:G31)</f>
        <v/>
      </c>
      <c r="H32" s="82">
        <f>SUM(H7:H31)</f>
        <v/>
      </c>
      <c r="I32" s="82">
        <f>SUM(I7:I31)</f>
        <v/>
      </c>
      <c r="J32" s="82">
        <f>SUM(J7:J31)</f>
        <v/>
      </c>
      <c r="K32" s="82">
        <f>SUM(K7:K31)</f>
        <v/>
      </c>
      <c r="L32" s="82">
        <f>SUM(L7:L31)</f>
        <v/>
      </c>
      <c r="M32" s="82">
        <f>SUM(M7:M31)</f>
        <v/>
      </c>
      <c r="N32" s="82">
        <f>SUM(N7:N31)</f>
        <v/>
      </c>
      <c r="O32" s="82">
        <f>SUM(O7:O31)</f>
        <v/>
      </c>
      <c r="P32" s="82">
        <f>SUM(P7:P31)</f>
        <v/>
      </c>
      <c r="Q32" s="82">
        <f>SUM(Q7:Q31)</f>
        <v/>
      </c>
      <c r="R32" s="82">
        <f>SUM(R7:R31)</f>
        <v/>
      </c>
      <c r="S32" s="82">
        <f>S31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2026-06-16T22:11:09Z</dcterms:created>
  <dcterms:modified xmlns:dcterms="http://purl.org/dc/terms/" xmlns:xsi="http://www.w3.org/2001/XMLSchema-instance" xsi:type="dcterms:W3CDTF">2026-06-26T06:04:21Z</dcterms:modified>
</cp:coreProperties>
</file>